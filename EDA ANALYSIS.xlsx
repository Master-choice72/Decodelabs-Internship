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1"/>
  </bookViews>
  <sheets>
    <sheet name="Cleaned Data" sheetId="1" r:id="rId1"/>
    <sheet name="EDA Analysis" sheetId="2" r:id="rId2"/>
    <sheet name="Charts Dashboard" sheetId="3" r:id="rId3"/>
    <sheet name="Sheet4" sheetId="4" r:id="rId4"/>
  </sheets>
  <definedNames>
    <definedName name="_xlnm._FilterDatabase" localSheetId="0" hidden="1">'Cleaned Data'!$A$1:$N$1</definedName>
  </definedNames>
  <calcPr calcId="144525"/>
  <pivotCaches>
    <pivotCache cacheId="18" r:id="rId5"/>
  </pivotCaches>
  <fileRecoveryPr repairLoad="1"/>
</workbook>
</file>

<file path=xl/calcChain.xml><?xml version="1.0" encoding="utf-8"?>
<calcChain xmlns="http://schemas.openxmlformats.org/spreadsheetml/2006/main">
  <c r="B14" i="2" l="1"/>
  <c r="B16" i="2"/>
  <c r="B15" i="2"/>
  <c r="B13" i="2"/>
  <c r="E4" i="2"/>
  <c r="B20" i="2"/>
  <c r="E3" i="2"/>
  <c r="E5" i="2" s="1"/>
  <c r="B19" i="2"/>
  <c r="B11" i="2"/>
  <c r="B10" i="2"/>
  <c r="B9" i="2"/>
  <c r="B8" i="2"/>
  <c r="B6" i="2"/>
  <c r="B5" i="2"/>
  <c r="B4" i="2"/>
  <c r="B3" i="2"/>
  <c r="B2" i="2"/>
  <c r="B21" i="2" l="1"/>
  <c r="B22" i="2" s="1"/>
  <c r="E7" i="2"/>
  <c r="E6" i="2"/>
  <c r="B23" i="2" l="1"/>
  <c r="O817" i="1" s="1"/>
  <c r="O456" i="1"/>
  <c r="O797" i="1"/>
  <c r="O626" i="1"/>
  <c r="O451" i="1"/>
  <c r="O235" i="1"/>
  <c r="O728" i="1"/>
  <c r="O373" i="1"/>
  <c r="O623" i="1"/>
  <c r="O495" i="1"/>
  <c r="O39" i="1"/>
  <c r="O121" i="1"/>
  <c r="O140" i="1"/>
  <c r="O228" i="1"/>
  <c r="O129" i="1"/>
  <c r="O193" i="1"/>
  <c r="O47" i="1"/>
  <c r="O111" i="1"/>
  <c r="O223" i="1"/>
  <c r="O255" i="1"/>
  <c r="O10" i="1"/>
  <c r="O138" i="1"/>
  <c r="O386" i="1"/>
  <c r="O418" i="1"/>
  <c r="O222" i="1"/>
  <c r="O338" i="1"/>
  <c r="O439" i="1"/>
  <c r="O471" i="1"/>
  <c r="O104" i="1"/>
  <c r="O148" i="1"/>
  <c r="O276" i="1"/>
  <c r="O316" i="1"/>
  <c r="O101" i="1"/>
  <c r="O133" i="1"/>
  <c r="O229" i="1"/>
  <c r="O261" i="1"/>
  <c r="O19" i="1"/>
  <c r="O51" i="1"/>
  <c r="O147" i="1"/>
  <c r="O179" i="1"/>
  <c r="O275" i="1"/>
  <c r="O307" i="1"/>
  <c r="O218" i="1"/>
  <c r="O336" i="1"/>
  <c r="O438" i="1"/>
  <c r="O46" i="1"/>
  <c r="O363" i="1"/>
  <c r="O395" i="1"/>
  <c r="O68" i="1"/>
  <c r="O152" i="1"/>
  <c r="O73" i="1"/>
  <c r="O137" i="1"/>
  <c r="O329" i="1"/>
  <c r="O55" i="1"/>
  <c r="O247" i="1"/>
  <c r="O311" i="1"/>
  <c r="O410" i="1"/>
  <c r="O62" i="1"/>
  <c r="O463" i="1"/>
  <c r="O503" i="1"/>
  <c r="O599" i="1"/>
  <c r="O631" i="1"/>
  <c r="O679" i="1"/>
  <c r="O695" i="1"/>
  <c r="O50" i="1"/>
  <c r="O114" i="1"/>
  <c r="O306" i="1"/>
  <c r="O348" i="1"/>
  <c r="O396" i="1"/>
  <c r="O412" i="1"/>
  <c r="O460" i="1"/>
  <c r="O476" i="1"/>
  <c r="O524" i="1"/>
  <c r="O540" i="1"/>
  <c r="O588" i="1"/>
  <c r="O86" i="1"/>
  <c r="O465" i="1"/>
  <c r="O497" i="1"/>
  <c r="O593" i="1"/>
  <c r="O616" i="1"/>
  <c r="O680" i="1"/>
  <c r="O701" i="1"/>
  <c r="O116" i="1"/>
  <c r="O156" i="1"/>
  <c r="O284" i="1"/>
  <c r="O13" i="1"/>
  <c r="O109" i="1"/>
  <c r="O141" i="1"/>
  <c r="O237" i="1"/>
  <c r="O269" i="1"/>
  <c r="O27" i="1"/>
  <c r="O59" i="1"/>
  <c r="O155" i="1"/>
  <c r="O187" i="1"/>
  <c r="O283" i="1"/>
  <c r="O315" i="1"/>
  <c r="O250" i="1"/>
  <c r="O350" i="1"/>
  <c r="O446" i="1"/>
  <c r="O78" i="1"/>
  <c r="O330" i="1"/>
  <c r="O371" i="1"/>
  <c r="O403" i="1"/>
  <c r="O435" i="1"/>
  <c r="O467" i="1"/>
  <c r="O491" i="1"/>
  <c r="O507" i="1"/>
  <c r="O523" i="1"/>
  <c r="O539" i="1"/>
  <c r="O555" i="1"/>
  <c r="O571" i="1"/>
  <c r="O587" i="1"/>
  <c r="O603" i="1"/>
  <c r="O619" i="1"/>
  <c r="O635" i="1"/>
  <c r="O651" i="1"/>
  <c r="O667" i="1"/>
  <c r="O683" i="1"/>
  <c r="O699" i="1"/>
  <c r="O715" i="1"/>
  <c r="O731" i="1"/>
  <c r="O66" i="1"/>
  <c r="O130" i="1"/>
  <c r="O194" i="1"/>
  <c r="O258" i="1"/>
  <c r="O322" i="1"/>
  <c r="O352" i="1"/>
  <c r="O368" i="1"/>
  <c r="O384" i="1"/>
  <c r="O400" i="1"/>
  <c r="O416" i="1"/>
  <c r="O432" i="1"/>
  <c r="O448" i="1"/>
  <c r="O464" i="1"/>
  <c r="O480" i="1"/>
  <c r="O496" i="1"/>
  <c r="O512" i="1"/>
  <c r="O528" i="1"/>
  <c r="O544" i="1"/>
  <c r="O560" i="1"/>
  <c r="O576" i="1"/>
  <c r="O592" i="1"/>
  <c r="O150" i="1"/>
  <c r="O357" i="1"/>
  <c r="O421" i="1"/>
  <c r="O473" i="1"/>
  <c r="O505" i="1"/>
  <c r="O537" i="1"/>
  <c r="P4" i="1"/>
  <c r="P8" i="1"/>
  <c r="P12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52" i="1"/>
  <c r="P156" i="1"/>
  <c r="P160" i="1"/>
  <c r="P164" i="1"/>
  <c r="P168" i="1"/>
  <c r="P172" i="1"/>
  <c r="P176" i="1"/>
  <c r="P180" i="1"/>
  <c r="P184" i="1"/>
  <c r="P188" i="1"/>
  <c r="P192" i="1"/>
  <c r="P196" i="1"/>
  <c r="P200" i="1"/>
  <c r="P204" i="1"/>
  <c r="P208" i="1"/>
  <c r="P212" i="1"/>
  <c r="P216" i="1"/>
  <c r="P220" i="1"/>
  <c r="P224" i="1"/>
  <c r="P228" i="1"/>
  <c r="P232" i="1"/>
  <c r="P236" i="1"/>
  <c r="P240" i="1"/>
  <c r="P244" i="1"/>
  <c r="P248" i="1"/>
  <c r="P252" i="1"/>
  <c r="P256" i="1"/>
  <c r="P260" i="1"/>
  <c r="P264" i="1"/>
  <c r="P268" i="1"/>
  <c r="P272" i="1"/>
  <c r="P276" i="1"/>
  <c r="P280" i="1"/>
  <c r="P284" i="1"/>
  <c r="P288" i="1"/>
  <c r="P292" i="1"/>
  <c r="P296" i="1"/>
  <c r="P300" i="1"/>
  <c r="P5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177" i="1"/>
  <c r="P181" i="1"/>
  <c r="P185" i="1"/>
  <c r="P189" i="1"/>
  <c r="P193" i="1"/>
  <c r="P197" i="1"/>
  <c r="P201" i="1"/>
  <c r="P205" i="1"/>
  <c r="P209" i="1"/>
  <c r="P213" i="1"/>
  <c r="P217" i="1"/>
  <c r="P221" i="1"/>
  <c r="P225" i="1"/>
  <c r="P229" i="1"/>
  <c r="P233" i="1"/>
  <c r="P237" i="1"/>
  <c r="P241" i="1"/>
  <c r="P245" i="1"/>
  <c r="P249" i="1"/>
  <c r="P253" i="1"/>
  <c r="P257" i="1"/>
  <c r="P261" i="1"/>
  <c r="P265" i="1"/>
  <c r="P269" i="1"/>
  <c r="P273" i="1"/>
  <c r="P277" i="1"/>
  <c r="P281" i="1"/>
  <c r="P285" i="1"/>
  <c r="P289" i="1"/>
  <c r="P293" i="1"/>
  <c r="P297" i="1"/>
  <c r="P6" i="1"/>
  <c r="P10" i="1"/>
  <c r="P14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150" i="1"/>
  <c r="P154" i="1"/>
  <c r="P158" i="1"/>
  <c r="P162" i="1"/>
  <c r="P166" i="1"/>
  <c r="P170" i="1"/>
  <c r="P174" i="1"/>
  <c r="P178" i="1"/>
  <c r="P182" i="1"/>
  <c r="P186" i="1"/>
  <c r="P190" i="1"/>
  <c r="P194" i="1"/>
  <c r="P198" i="1"/>
  <c r="P202" i="1"/>
  <c r="P206" i="1"/>
  <c r="P210" i="1"/>
  <c r="P214" i="1"/>
  <c r="P218" i="1"/>
  <c r="P222" i="1"/>
  <c r="P226" i="1"/>
  <c r="P230" i="1"/>
  <c r="P234" i="1"/>
  <c r="P238" i="1"/>
  <c r="P242" i="1"/>
  <c r="P246" i="1"/>
  <c r="P250" i="1"/>
  <c r="P254" i="1"/>
  <c r="P258" i="1"/>
  <c r="P262" i="1"/>
  <c r="P266" i="1"/>
  <c r="P270" i="1"/>
  <c r="P274" i="1"/>
  <c r="P278" i="1"/>
  <c r="P282" i="1"/>
  <c r="P286" i="1"/>
  <c r="P290" i="1"/>
  <c r="P294" i="1"/>
  <c r="P298" i="1"/>
  <c r="P3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51" i="1"/>
  <c r="P155" i="1"/>
  <c r="P159" i="1"/>
  <c r="P163" i="1"/>
  <c r="P167" i="1"/>
  <c r="P171" i="1"/>
  <c r="P175" i="1"/>
  <c r="P179" i="1"/>
  <c r="P183" i="1"/>
  <c r="P187" i="1"/>
  <c r="P191" i="1"/>
  <c r="P195" i="1"/>
  <c r="P199" i="1"/>
  <c r="P203" i="1"/>
  <c r="P207" i="1"/>
  <c r="P211" i="1"/>
  <c r="P215" i="1"/>
  <c r="P219" i="1"/>
  <c r="P223" i="1"/>
  <c r="P227" i="1"/>
  <c r="P231" i="1"/>
  <c r="P235" i="1"/>
  <c r="P239" i="1"/>
  <c r="P243" i="1"/>
  <c r="P247" i="1"/>
  <c r="P251" i="1"/>
  <c r="P255" i="1"/>
  <c r="P259" i="1"/>
  <c r="P263" i="1"/>
  <c r="P267" i="1"/>
  <c r="P271" i="1"/>
  <c r="P275" i="1"/>
  <c r="P279" i="1"/>
  <c r="P283" i="1"/>
  <c r="P287" i="1"/>
  <c r="P291" i="1"/>
  <c r="P295" i="1"/>
  <c r="P299" i="1"/>
  <c r="P303" i="1"/>
  <c r="P307" i="1"/>
  <c r="P311" i="1"/>
  <c r="P315" i="1"/>
  <c r="P319" i="1"/>
  <c r="P323" i="1"/>
  <c r="P327" i="1"/>
  <c r="P331" i="1"/>
  <c r="P335" i="1"/>
  <c r="P339" i="1"/>
  <c r="P302" i="1"/>
  <c r="P308" i="1"/>
  <c r="P313" i="1"/>
  <c r="P318" i="1"/>
  <c r="P324" i="1"/>
  <c r="P329" i="1"/>
  <c r="P334" i="1"/>
  <c r="P340" i="1"/>
  <c r="P344" i="1"/>
  <c r="P348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8" i="1"/>
  <c r="P492" i="1"/>
  <c r="P496" i="1"/>
  <c r="P500" i="1"/>
  <c r="P504" i="1"/>
  <c r="P508" i="1"/>
  <c r="P512" i="1"/>
  <c r="P516" i="1"/>
  <c r="P520" i="1"/>
  <c r="P524" i="1"/>
  <c r="P528" i="1"/>
  <c r="P532" i="1"/>
  <c r="P536" i="1"/>
  <c r="P540" i="1"/>
  <c r="P544" i="1"/>
  <c r="P548" i="1"/>
  <c r="P552" i="1"/>
  <c r="P556" i="1"/>
  <c r="P560" i="1"/>
  <c r="P564" i="1"/>
  <c r="P568" i="1"/>
  <c r="P572" i="1"/>
  <c r="P576" i="1"/>
  <c r="P580" i="1"/>
  <c r="P584" i="1"/>
  <c r="P588" i="1"/>
  <c r="P592" i="1"/>
  <c r="P596" i="1"/>
  <c r="P600" i="1"/>
  <c r="P604" i="1"/>
  <c r="P608" i="1"/>
  <c r="P612" i="1"/>
  <c r="P616" i="1"/>
  <c r="P620" i="1"/>
  <c r="P624" i="1"/>
  <c r="P628" i="1"/>
  <c r="P632" i="1"/>
  <c r="P636" i="1"/>
  <c r="P640" i="1"/>
  <c r="P644" i="1"/>
  <c r="P648" i="1"/>
  <c r="P305" i="1"/>
  <c r="P310" i="1"/>
  <c r="P316" i="1"/>
  <c r="P321" i="1"/>
  <c r="P326" i="1"/>
  <c r="P332" i="1"/>
  <c r="P337" i="1"/>
  <c r="P342" i="1"/>
  <c r="P346" i="1"/>
  <c r="P350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2" i="1"/>
  <c r="P446" i="1"/>
  <c r="P450" i="1"/>
  <c r="P454" i="1"/>
  <c r="P458" i="1"/>
  <c r="P462" i="1"/>
  <c r="P466" i="1"/>
  <c r="P470" i="1"/>
  <c r="P474" i="1"/>
  <c r="P478" i="1"/>
  <c r="P482" i="1"/>
  <c r="P486" i="1"/>
  <c r="P490" i="1"/>
  <c r="P494" i="1"/>
  <c r="P498" i="1"/>
  <c r="P502" i="1"/>
  <c r="P506" i="1"/>
  <c r="P510" i="1"/>
  <c r="P514" i="1"/>
  <c r="P518" i="1"/>
  <c r="P522" i="1"/>
  <c r="P526" i="1"/>
  <c r="P530" i="1"/>
  <c r="P534" i="1"/>
  <c r="P538" i="1"/>
  <c r="P542" i="1"/>
  <c r="P546" i="1"/>
  <c r="P550" i="1"/>
  <c r="P554" i="1"/>
  <c r="P558" i="1"/>
  <c r="P562" i="1"/>
  <c r="P566" i="1"/>
  <c r="P570" i="1"/>
  <c r="P574" i="1"/>
  <c r="P578" i="1"/>
  <c r="P582" i="1"/>
  <c r="P586" i="1"/>
  <c r="P590" i="1"/>
  <c r="P594" i="1"/>
  <c r="P598" i="1"/>
  <c r="P602" i="1"/>
  <c r="P606" i="1"/>
  <c r="P610" i="1"/>
  <c r="P614" i="1"/>
  <c r="P618" i="1"/>
  <c r="P622" i="1"/>
  <c r="P626" i="1"/>
  <c r="P630" i="1"/>
  <c r="P634" i="1"/>
  <c r="P638" i="1"/>
  <c r="P642" i="1"/>
  <c r="P646" i="1"/>
  <c r="P650" i="1"/>
  <c r="P301" i="1"/>
  <c r="P312" i="1"/>
  <c r="P322" i="1"/>
  <c r="P333" i="1"/>
  <c r="P343" i="1"/>
  <c r="P351" i="1"/>
  <c r="P359" i="1"/>
  <c r="P367" i="1"/>
  <c r="P375" i="1"/>
  <c r="P383" i="1"/>
  <c r="P391" i="1"/>
  <c r="P399" i="1"/>
  <c r="P407" i="1"/>
  <c r="P415" i="1"/>
  <c r="P423" i="1"/>
  <c r="P431" i="1"/>
  <c r="P439" i="1"/>
  <c r="P447" i="1"/>
  <c r="P45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P575" i="1"/>
  <c r="P583" i="1"/>
  <c r="P591" i="1"/>
  <c r="P599" i="1"/>
  <c r="P607" i="1"/>
  <c r="P615" i="1"/>
  <c r="P623" i="1"/>
  <c r="P631" i="1"/>
  <c r="P639" i="1"/>
  <c r="P647" i="1"/>
  <c r="P653" i="1"/>
  <c r="P657" i="1"/>
  <c r="P661" i="1"/>
  <c r="P665" i="1"/>
  <c r="P669" i="1"/>
  <c r="P673" i="1"/>
  <c r="P677" i="1"/>
  <c r="P681" i="1"/>
  <c r="P685" i="1"/>
  <c r="P689" i="1"/>
  <c r="P693" i="1"/>
  <c r="P697" i="1"/>
  <c r="P701" i="1"/>
  <c r="P705" i="1"/>
  <c r="P709" i="1"/>
  <c r="P713" i="1"/>
  <c r="P717" i="1"/>
  <c r="P721" i="1"/>
  <c r="P725" i="1"/>
  <c r="P729" i="1"/>
  <c r="P733" i="1"/>
  <c r="P737" i="1"/>
  <c r="P741" i="1"/>
  <c r="P745" i="1"/>
  <c r="P749" i="1"/>
  <c r="P753" i="1"/>
  <c r="P757" i="1"/>
  <c r="P761" i="1"/>
  <c r="P765" i="1"/>
  <c r="P769" i="1"/>
  <c r="P773" i="1"/>
  <c r="P777" i="1"/>
  <c r="P781" i="1"/>
  <c r="P785" i="1"/>
  <c r="P789" i="1"/>
  <c r="P793" i="1"/>
  <c r="P797" i="1"/>
  <c r="P801" i="1"/>
  <c r="P805" i="1"/>
  <c r="P809" i="1"/>
  <c r="P813" i="1"/>
  <c r="P817" i="1"/>
  <c r="P304" i="1"/>
  <c r="P314" i="1"/>
  <c r="P325" i="1"/>
  <c r="P336" i="1"/>
  <c r="P345" i="1"/>
  <c r="P353" i="1"/>
  <c r="P361" i="1"/>
  <c r="P369" i="1"/>
  <c r="P377" i="1"/>
  <c r="P385" i="1"/>
  <c r="P393" i="1"/>
  <c r="P401" i="1"/>
  <c r="P409" i="1"/>
  <c r="P417" i="1"/>
  <c r="P425" i="1"/>
  <c r="P433" i="1"/>
  <c r="P441" i="1"/>
  <c r="P449" i="1"/>
  <c r="P457" i="1"/>
  <c r="P465" i="1"/>
  <c r="P473" i="1"/>
  <c r="P481" i="1"/>
  <c r="P489" i="1"/>
  <c r="P497" i="1"/>
  <c r="P505" i="1"/>
  <c r="P513" i="1"/>
  <c r="P521" i="1"/>
  <c r="P529" i="1"/>
  <c r="P537" i="1"/>
  <c r="P545" i="1"/>
  <c r="P553" i="1"/>
  <c r="P561" i="1"/>
  <c r="P569" i="1"/>
  <c r="P577" i="1"/>
  <c r="P585" i="1"/>
  <c r="P593" i="1"/>
  <c r="P601" i="1"/>
  <c r="P609" i="1"/>
  <c r="P617" i="1"/>
  <c r="P625" i="1"/>
  <c r="P633" i="1"/>
  <c r="P641" i="1"/>
  <c r="P649" i="1"/>
  <c r="P654" i="1"/>
  <c r="P658" i="1"/>
  <c r="P662" i="1"/>
  <c r="P666" i="1"/>
  <c r="P670" i="1"/>
  <c r="P674" i="1"/>
  <c r="P678" i="1"/>
  <c r="P682" i="1"/>
  <c r="P686" i="1"/>
  <c r="P690" i="1"/>
  <c r="P694" i="1"/>
  <c r="P698" i="1"/>
  <c r="P702" i="1"/>
  <c r="P706" i="1"/>
  <c r="P710" i="1"/>
  <c r="P714" i="1"/>
  <c r="P306" i="1"/>
  <c r="P328" i="1"/>
  <c r="P347" i="1"/>
  <c r="P363" i="1"/>
  <c r="P379" i="1"/>
  <c r="P395" i="1"/>
  <c r="P411" i="1"/>
  <c r="P427" i="1"/>
  <c r="P443" i="1"/>
  <c r="P459" i="1"/>
  <c r="P475" i="1"/>
  <c r="P491" i="1"/>
  <c r="P507" i="1"/>
  <c r="P523" i="1"/>
  <c r="P539" i="1"/>
  <c r="P555" i="1"/>
  <c r="P571" i="1"/>
  <c r="P587" i="1"/>
  <c r="P603" i="1"/>
  <c r="P619" i="1"/>
  <c r="P635" i="1"/>
  <c r="P651" i="1"/>
  <c r="P659" i="1"/>
  <c r="P667" i="1"/>
  <c r="P675" i="1"/>
  <c r="P683" i="1"/>
  <c r="P691" i="1"/>
  <c r="P699" i="1"/>
  <c r="P707" i="1"/>
  <c r="P715" i="1"/>
  <c r="P720" i="1"/>
  <c r="P726" i="1"/>
  <c r="P731" i="1"/>
  <c r="P736" i="1"/>
  <c r="P742" i="1"/>
  <c r="P747" i="1"/>
  <c r="P752" i="1"/>
  <c r="P758" i="1"/>
  <c r="P763" i="1"/>
  <c r="P768" i="1"/>
  <c r="P774" i="1"/>
  <c r="P779" i="1"/>
  <c r="P784" i="1"/>
  <c r="P790" i="1"/>
  <c r="P795" i="1"/>
  <c r="P800" i="1"/>
  <c r="P806" i="1"/>
  <c r="P811" i="1"/>
  <c r="P816" i="1"/>
  <c r="P821" i="1"/>
  <c r="P825" i="1"/>
  <c r="P829" i="1"/>
  <c r="P833" i="1"/>
  <c r="P837" i="1"/>
  <c r="P841" i="1"/>
  <c r="P845" i="1"/>
  <c r="P849" i="1"/>
  <c r="P853" i="1"/>
  <c r="P857" i="1"/>
  <c r="P861" i="1"/>
  <c r="P865" i="1"/>
  <c r="P869" i="1"/>
  <c r="P873" i="1"/>
  <c r="P877" i="1"/>
  <c r="P881" i="1"/>
  <c r="P885" i="1"/>
  <c r="P889" i="1"/>
  <c r="P893" i="1"/>
  <c r="P897" i="1"/>
  <c r="P901" i="1"/>
  <c r="P905" i="1"/>
  <c r="P909" i="1"/>
  <c r="P913" i="1"/>
  <c r="P917" i="1"/>
  <c r="P921" i="1"/>
  <c r="P925" i="1"/>
  <c r="P929" i="1"/>
  <c r="P933" i="1"/>
  <c r="P937" i="1"/>
  <c r="P941" i="1"/>
  <c r="P945" i="1"/>
  <c r="P949" i="1"/>
  <c r="P953" i="1"/>
  <c r="P957" i="1"/>
  <c r="P961" i="1"/>
  <c r="P965" i="1"/>
  <c r="P969" i="1"/>
  <c r="P973" i="1"/>
  <c r="P977" i="1"/>
  <c r="P981" i="1"/>
  <c r="P985" i="1"/>
  <c r="P989" i="1"/>
  <c r="P993" i="1"/>
  <c r="P997" i="1"/>
  <c r="P1001" i="1"/>
  <c r="P1005" i="1"/>
  <c r="P1009" i="1"/>
  <c r="P1013" i="1"/>
  <c r="P1017" i="1"/>
  <c r="P1021" i="1"/>
  <c r="P1025" i="1"/>
  <c r="P1029" i="1"/>
  <c r="P1033" i="1"/>
  <c r="P1037" i="1"/>
  <c r="P1041" i="1"/>
  <c r="P1045" i="1"/>
  <c r="P1049" i="1"/>
  <c r="P1053" i="1"/>
  <c r="P1057" i="1"/>
  <c r="P1061" i="1"/>
  <c r="P1065" i="1"/>
  <c r="P1069" i="1"/>
  <c r="P1073" i="1"/>
  <c r="P1077" i="1"/>
  <c r="P1081" i="1"/>
  <c r="P1085" i="1"/>
  <c r="P1089" i="1"/>
  <c r="P1093" i="1"/>
  <c r="P1097" i="1"/>
  <c r="P1101" i="1"/>
  <c r="P1105" i="1"/>
  <c r="P1109" i="1"/>
  <c r="P1113" i="1"/>
  <c r="P1117" i="1"/>
  <c r="P1121" i="1"/>
  <c r="P1125" i="1"/>
  <c r="P1129" i="1"/>
  <c r="P1133" i="1"/>
  <c r="P1137" i="1"/>
  <c r="P1141" i="1"/>
  <c r="P1145" i="1"/>
  <c r="P1149" i="1"/>
  <c r="P1153" i="1"/>
  <c r="P1157" i="1"/>
  <c r="P1161" i="1"/>
  <c r="P1165" i="1"/>
  <c r="P1169" i="1"/>
  <c r="P1173" i="1"/>
  <c r="P1177" i="1"/>
  <c r="P1181" i="1"/>
  <c r="P1185" i="1"/>
  <c r="P1189" i="1"/>
  <c r="P1193" i="1"/>
  <c r="P1197" i="1"/>
  <c r="P1201" i="1"/>
  <c r="P309" i="1"/>
  <c r="P330" i="1"/>
  <c r="P349" i="1"/>
  <c r="P365" i="1"/>
  <c r="P381" i="1"/>
  <c r="P397" i="1"/>
  <c r="P413" i="1"/>
  <c r="P429" i="1"/>
  <c r="P445" i="1"/>
  <c r="P461" i="1"/>
  <c r="P477" i="1"/>
  <c r="P493" i="1"/>
  <c r="P509" i="1"/>
  <c r="P525" i="1"/>
  <c r="P541" i="1"/>
  <c r="P557" i="1"/>
  <c r="P573" i="1"/>
  <c r="P589" i="1"/>
  <c r="P605" i="1"/>
  <c r="P621" i="1"/>
  <c r="P637" i="1"/>
  <c r="P652" i="1"/>
  <c r="P660" i="1"/>
  <c r="P668" i="1"/>
  <c r="P676" i="1"/>
  <c r="P684" i="1"/>
  <c r="P692" i="1"/>
  <c r="P700" i="1"/>
  <c r="P708" i="1"/>
  <c r="P716" i="1"/>
  <c r="P722" i="1"/>
  <c r="P727" i="1"/>
  <c r="P732" i="1"/>
  <c r="P738" i="1"/>
  <c r="P743" i="1"/>
  <c r="P748" i="1"/>
  <c r="P754" i="1"/>
  <c r="P759" i="1"/>
  <c r="P764" i="1"/>
  <c r="P770" i="1"/>
  <c r="P775" i="1"/>
  <c r="P780" i="1"/>
  <c r="P786" i="1"/>
  <c r="P791" i="1"/>
  <c r="P796" i="1"/>
  <c r="P802" i="1"/>
  <c r="P807" i="1"/>
  <c r="P812" i="1"/>
  <c r="P818" i="1"/>
  <c r="P822" i="1"/>
  <c r="P826" i="1"/>
  <c r="P830" i="1"/>
  <c r="P834" i="1"/>
  <c r="P838" i="1"/>
  <c r="P842" i="1"/>
  <c r="P846" i="1"/>
  <c r="P850" i="1"/>
  <c r="P854" i="1"/>
  <c r="P858" i="1"/>
  <c r="P862" i="1"/>
  <c r="P866" i="1"/>
  <c r="P870" i="1"/>
  <c r="P874" i="1"/>
  <c r="P878" i="1"/>
  <c r="P882" i="1"/>
  <c r="P886" i="1"/>
  <c r="P890" i="1"/>
  <c r="P894" i="1"/>
  <c r="P898" i="1"/>
  <c r="P902" i="1"/>
  <c r="P906" i="1"/>
  <c r="P910" i="1"/>
  <c r="P914" i="1"/>
  <c r="P918" i="1"/>
  <c r="P922" i="1"/>
  <c r="P926" i="1"/>
  <c r="P930" i="1"/>
  <c r="P934" i="1"/>
  <c r="P938" i="1"/>
  <c r="P942" i="1"/>
  <c r="P946" i="1"/>
  <c r="P950" i="1"/>
  <c r="P954" i="1"/>
  <c r="P958" i="1"/>
  <c r="P962" i="1"/>
  <c r="P966" i="1"/>
  <c r="P970" i="1"/>
  <c r="P974" i="1"/>
  <c r="P978" i="1"/>
  <c r="P982" i="1"/>
  <c r="P986" i="1"/>
  <c r="P990" i="1"/>
  <c r="P994" i="1"/>
  <c r="P998" i="1"/>
  <c r="P1002" i="1"/>
  <c r="P1006" i="1"/>
  <c r="P1010" i="1"/>
  <c r="P1014" i="1"/>
  <c r="P1018" i="1"/>
  <c r="P1022" i="1"/>
  <c r="P1026" i="1"/>
  <c r="P1030" i="1"/>
  <c r="P1034" i="1"/>
  <c r="P1038" i="1"/>
  <c r="P1042" i="1"/>
  <c r="P1046" i="1"/>
  <c r="P1050" i="1"/>
  <c r="P1054" i="1"/>
  <c r="P1058" i="1"/>
  <c r="P1062" i="1"/>
  <c r="P1066" i="1"/>
  <c r="P1070" i="1"/>
  <c r="P1074" i="1"/>
  <c r="P1078" i="1"/>
  <c r="P1082" i="1"/>
  <c r="P1086" i="1"/>
  <c r="P1090" i="1"/>
  <c r="P1094" i="1"/>
  <c r="P1098" i="1"/>
  <c r="P1102" i="1"/>
  <c r="P1106" i="1"/>
  <c r="P1110" i="1"/>
  <c r="P1114" i="1"/>
  <c r="P1118" i="1"/>
  <c r="P1122" i="1"/>
  <c r="P1126" i="1"/>
  <c r="P1130" i="1"/>
  <c r="P1134" i="1"/>
  <c r="P1138" i="1"/>
  <c r="P1142" i="1"/>
  <c r="P1146" i="1"/>
  <c r="P1150" i="1"/>
  <c r="P1154" i="1"/>
  <c r="P1158" i="1"/>
  <c r="P1162" i="1"/>
  <c r="P1166" i="1"/>
  <c r="P1170" i="1"/>
  <c r="P1174" i="1"/>
  <c r="P1178" i="1"/>
  <c r="P1182" i="1"/>
  <c r="P1186" i="1"/>
  <c r="P1190" i="1"/>
  <c r="P1194" i="1"/>
  <c r="P1198" i="1"/>
  <c r="P2" i="1"/>
  <c r="P317" i="1"/>
  <c r="P338" i="1"/>
  <c r="P355" i="1"/>
  <c r="P371" i="1"/>
  <c r="P387" i="1"/>
  <c r="P403" i="1"/>
  <c r="P419" i="1"/>
  <c r="P435" i="1"/>
  <c r="P451" i="1"/>
  <c r="P467" i="1"/>
  <c r="P483" i="1"/>
  <c r="P499" i="1"/>
  <c r="P515" i="1"/>
  <c r="P531" i="1"/>
  <c r="P547" i="1"/>
  <c r="P563" i="1"/>
  <c r="P579" i="1"/>
  <c r="P595" i="1"/>
  <c r="P611" i="1"/>
  <c r="P627" i="1"/>
  <c r="P643" i="1"/>
  <c r="P655" i="1"/>
  <c r="P663" i="1"/>
  <c r="P671" i="1"/>
  <c r="P679" i="1"/>
  <c r="P687" i="1"/>
  <c r="P695" i="1"/>
  <c r="P703" i="1"/>
  <c r="P711" i="1"/>
  <c r="P718" i="1"/>
  <c r="P723" i="1"/>
  <c r="P728" i="1"/>
  <c r="P734" i="1"/>
  <c r="P739" i="1"/>
  <c r="P744" i="1"/>
  <c r="P750" i="1"/>
  <c r="P755" i="1"/>
  <c r="P760" i="1"/>
  <c r="P766" i="1"/>
  <c r="P771" i="1"/>
  <c r="P776" i="1"/>
  <c r="P782" i="1"/>
  <c r="P787" i="1"/>
  <c r="P792" i="1"/>
  <c r="P798" i="1"/>
  <c r="P803" i="1"/>
  <c r="P808" i="1"/>
  <c r="P814" i="1"/>
  <c r="P819" i="1"/>
  <c r="P823" i="1"/>
  <c r="P827" i="1"/>
  <c r="P831" i="1"/>
  <c r="P835" i="1"/>
  <c r="P839" i="1"/>
  <c r="P843" i="1"/>
  <c r="P847" i="1"/>
  <c r="P851" i="1"/>
  <c r="P855" i="1"/>
  <c r="P859" i="1"/>
  <c r="P863" i="1"/>
  <c r="P867" i="1"/>
  <c r="P871" i="1"/>
  <c r="P875" i="1"/>
  <c r="P879" i="1"/>
  <c r="P883" i="1"/>
  <c r="P887" i="1"/>
  <c r="P891" i="1"/>
  <c r="P895" i="1"/>
  <c r="P899" i="1"/>
  <c r="P903" i="1"/>
  <c r="P907" i="1"/>
  <c r="P911" i="1"/>
  <c r="P915" i="1"/>
  <c r="P919" i="1"/>
  <c r="P923" i="1"/>
  <c r="P927" i="1"/>
  <c r="P931" i="1"/>
  <c r="P935" i="1"/>
  <c r="P939" i="1"/>
  <c r="P943" i="1"/>
  <c r="P947" i="1"/>
  <c r="P951" i="1"/>
  <c r="P955" i="1"/>
  <c r="P959" i="1"/>
  <c r="P963" i="1"/>
  <c r="P320" i="1"/>
  <c r="P389" i="1"/>
  <c r="P453" i="1"/>
  <c r="P517" i="1"/>
  <c r="P581" i="1"/>
  <c r="P645" i="1"/>
  <c r="P680" i="1"/>
  <c r="P712" i="1"/>
  <c r="P735" i="1"/>
  <c r="P756" i="1"/>
  <c r="P778" i="1"/>
  <c r="P799" i="1"/>
  <c r="P820" i="1"/>
  <c r="P836" i="1"/>
  <c r="P852" i="1"/>
  <c r="P868" i="1"/>
  <c r="P884" i="1"/>
  <c r="P900" i="1"/>
  <c r="P916" i="1"/>
  <c r="P932" i="1"/>
  <c r="P948" i="1"/>
  <c r="P964" i="1"/>
  <c r="P972" i="1"/>
  <c r="P980" i="1"/>
  <c r="P988" i="1"/>
  <c r="P996" i="1"/>
  <c r="P1004" i="1"/>
  <c r="P1012" i="1"/>
  <c r="P1020" i="1"/>
  <c r="P1028" i="1"/>
  <c r="P1036" i="1"/>
  <c r="P1044" i="1"/>
  <c r="P1052" i="1"/>
  <c r="P1060" i="1"/>
  <c r="P1068" i="1"/>
  <c r="P1076" i="1"/>
  <c r="P1084" i="1"/>
  <c r="P1092" i="1"/>
  <c r="P1100" i="1"/>
  <c r="P1108" i="1"/>
  <c r="P1116" i="1"/>
  <c r="P1124" i="1"/>
  <c r="P1132" i="1"/>
  <c r="P1140" i="1"/>
  <c r="P1148" i="1"/>
  <c r="P1156" i="1"/>
  <c r="P1164" i="1"/>
  <c r="P1172" i="1"/>
  <c r="P1180" i="1"/>
  <c r="P1188" i="1"/>
  <c r="P1196" i="1"/>
  <c r="P341" i="1"/>
  <c r="P405" i="1"/>
  <c r="P469" i="1"/>
  <c r="P533" i="1"/>
  <c r="P597" i="1"/>
  <c r="P656" i="1"/>
  <c r="P688" i="1"/>
  <c r="P719" i="1"/>
  <c r="P740" i="1"/>
  <c r="P762" i="1"/>
  <c r="P783" i="1"/>
  <c r="P804" i="1"/>
  <c r="P824" i="1"/>
  <c r="P840" i="1"/>
  <c r="P856" i="1"/>
  <c r="P872" i="1"/>
  <c r="P888" i="1"/>
  <c r="P904" i="1"/>
  <c r="P920" i="1"/>
  <c r="P936" i="1"/>
  <c r="P952" i="1"/>
  <c r="P967" i="1"/>
  <c r="P975" i="1"/>
  <c r="P983" i="1"/>
  <c r="P991" i="1"/>
  <c r="P999" i="1"/>
  <c r="P1007" i="1"/>
  <c r="P1015" i="1"/>
  <c r="P1023" i="1"/>
  <c r="P1031" i="1"/>
  <c r="P1039" i="1"/>
  <c r="P1047" i="1"/>
  <c r="P1055" i="1"/>
  <c r="P1063" i="1"/>
  <c r="P1071" i="1"/>
  <c r="P1079" i="1"/>
  <c r="P1087" i="1"/>
  <c r="P1095" i="1"/>
  <c r="P1103" i="1"/>
  <c r="P1111" i="1"/>
  <c r="P1119" i="1"/>
  <c r="P1127" i="1"/>
  <c r="P1135" i="1"/>
  <c r="P1143" i="1"/>
  <c r="P1151" i="1"/>
  <c r="P1159" i="1"/>
  <c r="P1167" i="1"/>
  <c r="P1175" i="1"/>
  <c r="P1183" i="1"/>
  <c r="P1191" i="1"/>
  <c r="P1199" i="1"/>
  <c r="P373" i="1"/>
  <c r="P437" i="1"/>
  <c r="P501" i="1"/>
  <c r="P565" i="1"/>
  <c r="P629" i="1"/>
  <c r="P672" i="1"/>
  <c r="P704" i="1"/>
  <c r="P730" i="1"/>
  <c r="P751" i="1"/>
  <c r="P772" i="1"/>
  <c r="P794" i="1"/>
  <c r="P815" i="1"/>
  <c r="P832" i="1"/>
  <c r="P848" i="1"/>
  <c r="P864" i="1"/>
  <c r="P880" i="1"/>
  <c r="P896" i="1"/>
  <c r="P912" i="1"/>
  <c r="P928" i="1"/>
  <c r="P944" i="1"/>
  <c r="P960" i="1"/>
  <c r="P971" i="1"/>
  <c r="P979" i="1"/>
  <c r="P987" i="1"/>
  <c r="P995" i="1"/>
  <c r="P1003" i="1"/>
  <c r="P1011" i="1"/>
  <c r="P1019" i="1"/>
  <c r="P1027" i="1"/>
  <c r="P1035" i="1"/>
  <c r="P1043" i="1"/>
  <c r="P1051" i="1"/>
  <c r="P1059" i="1"/>
  <c r="P1067" i="1"/>
  <c r="P1075" i="1"/>
  <c r="P1083" i="1"/>
  <c r="P1091" i="1"/>
  <c r="P1099" i="1"/>
  <c r="P1107" i="1"/>
  <c r="P1115" i="1"/>
  <c r="P1123" i="1"/>
  <c r="P1131" i="1"/>
  <c r="P1139" i="1"/>
  <c r="P1147" i="1"/>
  <c r="P1155" i="1"/>
  <c r="P1163" i="1"/>
  <c r="P1171" i="1"/>
  <c r="P1179" i="1"/>
  <c r="P1187" i="1"/>
  <c r="P1195" i="1"/>
  <c r="P357" i="1"/>
  <c r="P421" i="1"/>
  <c r="P485" i="1"/>
  <c r="P549" i="1"/>
  <c r="P613" i="1"/>
  <c r="P664" i="1"/>
  <c r="P696" i="1"/>
  <c r="P724" i="1"/>
  <c r="P746" i="1"/>
  <c r="P767" i="1"/>
  <c r="P788" i="1"/>
  <c r="P810" i="1"/>
  <c r="P828" i="1"/>
  <c r="P844" i="1"/>
  <c r="P860" i="1"/>
  <c r="P876" i="1"/>
  <c r="P892" i="1"/>
  <c r="P908" i="1"/>
  <c r="P924" i="1"/>
  <c r="P940" i="1"/>
  <c r="P956" i="1"/>
  <c r="P968" i="1"/>
  <c r="P976" i="1"/>
  <c r="P984" i="1"/>
  <c r="P992" i="1"/>
  <c r="P1000" i="1"/>
  <c r="P1008" i="1"/>
  <c r="P1016" i="1"/>
  <c r="P1024" i="1"/>
  <c r="P1032" i="1"/>
  <c r="P1040" i="1"/>
  <c r="P1048" i="1"/>
  <c r="P1056" i="1"/>
  <c r="P1064" i="1"/>
  <c r="P1072" i="1"/>
  <c r="P1080" i="1"/>
  <c r="P1088" i="1"/>
  <c r="P1096" i="1"/>
  <c r="P1104" i="1"/>
  <c r="P1112" i="1"/>
  <c r="P1120" i="1"/>
  <c r="P1128" i="1"/>
  <c r="P1136" i="1"/>
  <c r="P1144" i="1"/>
  <c r="P1152" i="1"/>
  <c r="P1160" i="1"/>
  <c r="P1168" i="1"/>
  <c r="P1176" i="1"/>
  <c r="P1184" i="1"/>
  <c r="P1192" i="1"/>
  <c r="P1200" i="1"/>
  <c r="O320" i="1"/>
  <c r="O304" i="1"/>
  <c r="O288" i="1"/>
  <c r="O272" i="1"/>
  <c r="O256" i="1"/>
  <c r="O240" i="1"/>
  <c r="O224" i="1"/>
  <c r="O208" i="1"/>
  <c r="O192" i="1"/>
  <c r="O176" i="1"/>
  <c r="O160" i="1"/>
  <c r="O144" i="1"/>
  <c r="O128" i="1"/>
  <c r="O112" i="1"/>
  <c r="O96" i="1"/>
  <c r="O80" i="1"/>
  <c r="O64" i="1"/>
  <c r="O48" i="1"/>
  <c r="O32" i="1"/>
  <c r="O414" i="1" l="1"/>
  <c r="O122" i="1"/>
  <c r="O251" i="1"/>
  <c r="O123" i="1"/>
  <c r="O333" i="1"/>
  <c r="O205" i="1"/>
  <c r="O77" i="1"/>
  <c r="O244" i="1"/>
  <c r="O72" i="1"/>
  <c r="O658" i="1"/>
  <c r="O561" i="1"/>
  <c r="O405" i="1"/>
  <c r="O572" i="1"/>
  <c r="O508" i="1"/>
  <c r="O444" i="1"/>
  <c r="O380" i="1"/>
  <c r="O242" i="1"/>
  <c r="O727" i="1"/>
  <c r="O663" i="1"/>
  <c r="O567" i="1"/>
  <c r="O399" i="1"/>
  <c r="O344" i="1"/>
  <c r="O183" i="1"/>
  <c r="O265" i="1"/>
  <c r="O324" i="1"/>
  <c r="O459" i="1"/>
  <c r="O302" i="1"/>
  <c r="O406" i="1"/>
  <c r="O90" i="1"/>
  <c r="O243" i="1"/>
  <c r="O115" i="1"/>
  <c r="O325" i="1"/>
  <c r="O197" i="1"/>
  <c r="O69" i="1"/>
  <c r="O232" i="1"/>
  <c r="O60" i="1"/>
  <c r="O407" i="1"/>
  <c r="O94" i="1"/>
  <c r="O354" i="1"/>
  <c r="O319" i="1"/>
  <c r="O191" i="1"/>
  <c r="O321" i="1"/>
  <c r="O65" i="1"/>
  <c r="O56" i="1"/>
  <c r="O295" i="1"/>
  <c r="O82" i="1"/>
  <c r="O102" i="1"/>
  <c r="O723" i="1"/>
  <c r="O264" i="1"/>
  <c r="O206" i="1"/>
  <c r="O382" i="1"/>
  <c r="O347" i="1"/>
  <c r="O219" i="1"/>
  <c r="O91" i="1"/>
  <c r="O301" i="1"/>
  <c r="O173" i="1"/>
  <c r="O45" i="1"/>
  <c r="O200" i="1"/>
  <c r="O28" i="1"/>
  <c r="O637" i="1"/>
  <c r="O529" i="1"/>
  <c r="O334" i="1"/>
  <c r="O556" i="1"/>
  <c r="O492" i="1"/>
  <c r="O428" i="1"/>
  <c r="O364" i="1"/>
  <c r="O178" i="1"/>
  <c r="O711" i="1"/>
  <c r="O647" i="1"/>
  <c r="O535" i="1"/>
  <c r="O318" i="1"/>
  <c r="O106" i="1"/>
  <c r="O119" i="1"/>
  <c r="O201" i="1"/>
  <c r="O236" i="1"/>
  <c r="O427" i="1"/>
  <c r="O174" i="1"/>
  <c r="O374" i="1"/>
  <c r="O339" i="1"/>
  <c r="O211" i="1"/>
  <c r="O83" i="1"/>
  <c r="O293" i="1"/>
  <c r="O165" i="1"/>
  <c r="O37" i="1"/>
  <c r="O188" i="1"/>
  <c r="O20" i="1"/>
  <c r="O375" i="1"/>
  <c r="O450" i="1"/>
  <c r="O266" i="1"/>
  <c r="O287" i="1"/>
  <c r="O159" i="1"/>
  <c r="O257" i="1"/>
  <c r="O312" i="1"/>
  <c r="O132" i="1"/>
  <c r="O458" i="1"/>
  <c r="O404" i="1"/>
  <c r="O61" i="1"/>
  <c r="O504" i="1"/>
  <c r="O355" i="1"/>
  <c r="O583" i="1"/>
  <c r="O519" i="1"/>
  <c r="O431" i="1"/>
  <c r="O190" i="1"/>
  <c r="O378" i="1"/>
  <c r="O343" i="1"/>
  <c r="O215" i="1"/>
  <c r="O87" i="1"/>
  <c r="O297" i="1"/>
  <c r="O169" i="1"/>
  <c r="O41" i="1"/>
  <c r="O196" i="1"/>
  <c r="O24" i="1"/>
  <c r="O411" i="1"/>
  <c r="O346" i="1"/>
  <c r="O110" i="1"/>
  <c r="O422" i="1"/>
  <c r="O358" i="1"/>
  <c r="O154" i="1"/>
  <c r="O323" i="1"/>
  <c r="O259" i="1"/>
  <c r="O195" i="1"/>
  <c r="O131" i="1"/>
  <c r="O67" i="1"/>
  <c r="O341" i="1"/>
  <c r="O277" i="1"/>
  <c r="O213" i="1"/>
  <c r="O149" i="1"/>
  <c r="O85" i="1"/>
  <c r="O21" i="1"/>
  <c r="O252" i="1"/>
  <c r="O168" i="1"/>
  <c r="O84" i="1"/>
  <c r="O487" i="1"/>
  <c r="O423" i="1"/>
  <c r="O359" i="1"/>
  <c r="O158" i="1"/>
  <c r="O434" i="1"/>
  <c r="O370" i="1"/>
  <c r="O202" i="1"/>
  <c r="O335" i="1"/>
  <c r="O271" i="1"/>
  <c r="O207" i="1"/>
  <c r="O143" i="1"/>
  <c r="O15" i="1"/>
  <c r="O225" i="1"/>
  <c r="O97" i="1"/>
  <c r="O268" i="1"/>
  <c r="O100" i="1"/>
  <c r="O300" i="1"/>
  <c r="O167" i="1"/>
  <c r="O383" i="1"/>
  <c r="O687" i="1"/>
  <c r="O500" i="1"/>
  <c r="O793" i="1"/>
  <c r="O317" i="1"/>
  <c r="O595" i="1"/>
  <c r="O389" i="1"/>
  <c r="O166" i="1"/>
  <c r="O675" i="1"/>
  <c r="O615" i="1"/>
  <c r="O551" i="1"/>
  <c r="O483" i="1"/>
  <c r="O367" i="1"/>
  <c r="O442" i="1"/>
  <c r="O234" i="1"/>
  <c r="O279" i="1"/>
  <c r="O151" i="1"/>
  <c r="O23" i="1"/>
  <c r="O233" i="1"/>
  <c r="O105" i="1"/>
  <c r="O280" i="1"/>
  <c r="O108" i="1"/>
  <c r="O443" i="1"/>
  <c r="O379" i="1"/>
  <c r="O238" i="1"/>
  <c r="O454" i="1"/>
  <c r="O390" i="1"/>
  <c r="O282" i="1"/>
  <c r="O26" i="1"/>
  <c r="O291" i="1"/>
  <c r="O227" i="1"/>
  <c r="O163" i="1"/>
  <c r="O99" i="1"/>
  <c r="O35" i="1"/>
  <c r="O309" i="1"/>
  <c r="O245" i="1"/>
  <c r="O181" i="1"/>
  <c r="O117" i="1"/>
  <c r="O53" i="1"/>
  <c r="O296" i="1"/>
  <c r="O212" i="1"/>
  <c r="O124" i="1"/>
  <c r="O40" i="1"/>
  <c r="O455" i="1"/>
  <c r="O391" i="1"/>
  <c r="O286" i="1"/>
  <c r="O30" i="1"/>
  <c r="O402" i="1"/>
  <c r="O328" i="1"/>
  <c r="O74" i="1"/>
  <c r="O303" i="1"/>
  <c r="O239" i="1"/>
  <c r="O175" i="1"/>
  <c r="O79" i="1"/>
  <c r="O289" i="1"/>
  <c r="O161" i="1"/>
  <c r="O33" i="1"/>
  <c r="O184" i="1"/>
  <c r="O12" i="1"/>
  <c r="O249" i="1"/>
  <c r="O298" i="1"/>
  <c r="O559" i="1"/>
  <c r="O332" i="1"/>
  <c r="O621" i="1"/>
  <c r="O52" i="1"/>
  <c r="O398" i="1"/>
  <c r="O376" i="1"/>
  <c r="O733" i="1"/>
  <c r="O139" i="1"/>
  <c r="O577" i="1"/>
  <c r="O95" i="1"/>
  <c r="O31" i="1"/>
  <c r="O305" i="1"/>
  <c r="O241" i="1"/>
  <c r="O177" i="1"/>
  <c r="O113" i="1"/>
  <c r="O49" i="1"/>
  <c r="O292" i="1"/>
  <c r="O204" i="1"/>
  <c r="O120" i="1"/>
  <c r="O36" i="1"/>
  <c r="O216" i="1"/>
  <c r="O185" i="1"/>
  <c r="O103" i="1"/>
  <c r="O42" i="1"/>
  <c r="O254" i="1"/>
  <c r="O527" i="1"/>
  <c r="O655" i="1"/>
  <c r="O210" i="1"/>
  <c r="O436" i="1"/>
  <c r="O481" i="1"/>
  <c r="O745" i="1"/>
  <c r="O342" i="1"/>
  <c r="O125" i="1"/>
  <c r="O299" i="1"/>
  <c r="O499" i="1"/>
  <c r="O98" i="1"/>
  <c r="O536" i="1"/>
  <c r="O653" i="1"/>
  <c r="O813" i="1"/>
  <c r="O93" i="1"/>
  <c r="O479" i="1"/>
  <c r="O520" i="1"/>
  <c r="O127" i="1"/>
  <c r="O63" i="1"/>
  <c r="O337" i="1"/>
  <c r="O273" i="1"/>
  <c r="O209" i="1"/>
  <c r="O145" i="1"/>
  <c r="O81" i="1"/>
  <c r="O17" i="1"/>
  <c r="O248" i="1"/>
  <c r="O164" i="1"/>
  <c r="O76" i="1"/>
  <c r="O44" i="1"/>
  <c r="O57" i="1"/>
  <c r="O313" i="1"/>
  <c r="O231" i="1"/>
  <c r="O394" i="1"/>
  <c r="O447" i="1"/>
  <c r="O591" i="1"/>
  <c r="O719" i="1"/>
  <c r="O372" i="1"/>
  <c r="O532" i="1"/>
  <c r="O648" i="1"/>
  <c r="O809" i="1"/>
  <c r="O136" i="1"/>
  <c r="O43" i="1"/>
  <c r="O14" i="1"/>
  <c r="O627" i="1"/>
  <c r="O408" i="1"/>
  <c r="O489" i="1"/>
  <c r="O749" i="1"/>
  <c r="O361" i="1"/>
  <c r="O267" i="1"/>
  <c r="O34" i="1"/>
  <c r="O642" i="1"/>
  <c r="O564" i="1"/>
  <c r="O545" i="1"/>
  <c r="O674" i="1"/>
  <c r="O761" i="1"/>
  <c r="O825" i="1"/>
  <c r="O409" i="1"/>
  <c r="O220" i="1"/>
  <c r="O189" i="1"/>
  <c r="O107" i="1"/>
  <c r="O58" i="1"/>
  <c r="O270" i="1"/>
  <c r="O531" i="1"/>
  <c r="O659" i="1"/>
  <c r="O226" i="1"/>
  <c r="O440" i="1"/>
  <c r="O568" i="1"/>
  <c r="O553" i="1"/>
  <c r="O685" i="1"/>
  <c r="O765" i="1"/>
  <c r="O829" i="1"/>
  <c r="O425" i="1"/>
  <c r="O221" i="1"/>
  <c r="O186" i="1"/>
  <c r="O547" i="1"/>
  <c r="O290" i="1"/>
  <c r="O584" i="1"/>
  <c r="O696" i="1"/>
  <c r="O172" i="1"/>
  <c r="O126" i="1"/>
  <c r="O468" i="1"/>
  <c r="O596" i="1"/>
  <c r="O585" i="1"/>
  <c r="O706" i="1"/>
  <c r="O777" i="1"/>
  <c r="O841" i="1"/>
  <c r="O466" i="1"/>
  <c r="O308" i="1"/>
  <c r="O253" i="1"/>
  <c r="O171" i="1"/>
  <c r="O314" i="1"/>
  <c r="O387" i="1"/>
  <c r="O563" i="1"/>
  <c r="O691" i="1"/>
  <c r="O340" i="1"/>
  <c r="O472" i="1"/>
  <c r="O22" i="1"/>
  <c r="O600" i="1"/>
  <c r="O712" i="1"/>
  <c r="O781" i="1"/>
  <c r="O845" i="1"/>
  <c r="O2" i="1"/>
  <c r="O11" i="1"/>
  <c r="O430" i="1"/>
  <c r="O611" i="1"/>
  <c r="O392" i="1"/>
  <c r="O453" i="1"/>
  <c r="O741" i="1"/>
  <c r="O25" i="1"/>
  <c r="O415" i="1"/>
  <c r="O773" i="1"/>
  <c r="O71" i="1"/>
  <c r="O639" i="1"/>
  <c r="O199" i="1"/>
  <c r="O420" i="1"/>
  <c r="O513" i="1"/>
  <c r="O753" i="1"/>
  <c r="O703" i="1"/>
  <c r="O484" i="1"/>
  <c r="O605" i="1"/>
  <c r="O785" i="1"/>
  <c r="O805" i="1"/>
  <c r="O153" i="1"/>
  <c r="O327" i="1"/>
  <c r="O511" i="1"/>
  <c r="O146" i="1"/>
  <c r="O548" i="1"/>
  <c r="O664" i="1"/>
  <c r="O16" i="1"/>
  <c r="O180" i="1"/>
  <c r="O29" i="1"/>
  <c r="O157" i="1"/>
  <c r="O285" i="1"/>
  <c r="O75" i="1"/>
  <c r="O203" i="1"/>
  <c r="O331" i="1"/>
  <c r="O366" i="1"/>
  <c r="O142" i="1"/>
  <c r="O419" i="1"/>
  <c r="O515" i="1"/>
  <c r="O579" i="1"/>
  <c r="O643" i="1"/>
  <c r="O707" i="1"/>
  <c r="O162" i="1"/>
  <c r="O360" i="1"/>
  <c r="O424" i="1"/>
  <c r="O488" i="1"/>
  <c r="O552" i="1"/>
  <c r="O278" i="1"/>
  <c r="O521" i="1"/>
  <c r="O610" i="1"/>
  <c r="O669" i="1"/>
  <c r="O722" i="1"/>
  <c r="O757" i="1"/>
  <c r="O789" i="1"/>
  <c r="O821" i="1"/>
  <c r="O38" i="1"/>
  <c r="O393" i="1"/>
  <c r="O482" i="1"/>
  <c r="O514" i="1"/>
  <c r="O546" i="1"/>
  <c r="O578" i="1"/>
  <c r="O606" i="1"/>
  <c r="O628" i="1"/>
  <c r="O649" i="1"/>
  <c r="O670" i="1"/>
  <c r="O692" i="1"/>
  <c r="O713" i="1"/>
  <c r="O734" i="1"/>
  <c r="O750" i="1"/>
  <c r="O766" i="1"/>
  <c r="O782" i="1"/>
  <c r="O54" i="1"/>
  <c r="O310" i="1"/>
  <c r="O397" i="1"/>
  <c r="O461" i="1"/>
  <c r="O493" i="1"/>
  <c r="O525" i="1"/>
  <c r="O557" i="1"/>
  <c r="O589" i="1"/>
  <c r="O613" i="1"/>
  <c r="O634" i="1"/>
  <c r="O656" i="1"/>
  <c r="O88" i="1"/>
  <c r="O260" i="1"/>
  <c r="O89" i="1"/>
  <c r="O217" i="1"/>
  <c r="O345" i="1"/>
  <c r="O135" i="1"/>
  <c r="O263" i="1"/>
  <c r="O170" i="1"/>
  <c r="O426" i="1"/>
  <c r="O351" i="1"/>
  <c r="O475" i="1"/>
  <c r="O543" i="1"/>
  <c r="O607" i="1"/>
  <c r="O671" i="1"/>
  <c r="O18" i="1"/>
  <c r="O274" i="1"/>
  <c r="O388" i="1"/>
  <c r="O452" i="1"/>
  <c r="O516" i="1"/>
  <c r="O580" i="1"/>
  <c r="O437" i="1"/>
  <c r="O569" i="1"/>
  <c r="O632" i="1"/>
  <c r="O690" i="1"/>
  <c r="O737" i="1"/>
  <c r="O769" i="1"/>
  <c r="O801" i="1"/>
  <c r="O833" i="1"/>
  <c r="O230" i="1"/>
  <c r="O441" i="1"/>
  <c r="O490" i="1"/>
  <c r="O522" i="1"/>
  <c r="O554" i="1"/>
  <c r="O586" i="1"/>
  <c r="O612" i="1"/>
  <c r="O633" i="1"/>
  <c r="O654" i="1"/>
  <c r="O676" i="1"/>
  <c r="O697" i="1"/>
  <c r="O718" i="1"/>
  <c r="O738" i="1"/>
  <c r="O754" i="1"/>
  <c r="O770" i="1"/>
  <c r="O786" i="1"/>
  <c r="O118" i="1"/>
  <c r="O349" i="1"/>
  <c r="O413" i="1"/>
  <c r="O469" i="1"/>
  <c r="O501" i="1"/>
  <c r="O533" i="1"/>
  <c r="O565" i="1"/>
  <c r="O597" i="1"/>
  <c r="O618" i="1"/>
  <c r="O640" i="1"/>
  <c r="O661" i="1"/>
  <c r="O837" i="1"/>
  <c r="O294" i="1"/>
  <c r="O457" i="1"/>
  <c r="O498" i="1"/>
  <c r="O530" i="1"/>
  <c r="O562" i="1"/>
  <c r="O594" i="1"/>
  <c r="O617" i="1"/>
  <c r="O638" i="1"/>
  <c r="O660" i="1"/>
  <c r="O681" i="1"/>
  <c r="O702" i="1"/>
  <c r="O724" i="1"/>
  <c r="O742" i="1"/>
  <c r="O758" i="1"/>
  <c r="O774" i="1"/>
  <c r="O790" i="1"/>
  <c r="O182" i="1"/>
  <c r="O365" i="1"/>
  <c r="O429" i="1"/>
  <c r="O477" i="1"/>
  <c r="O509" i="1"/>
  <c r="O541" i="1"/>
  <c r="O573" i="1"/>
  <c r="O602" i="1"/>
  <c r="O624" i="1"/>
  <c r="O645" i="1"/>
  <c r="O666" i="1"/>
  <c r="O688" i="1"/>
  <c r="O709" i="1"/>
  <c r="O730" i="1"/>
  <c r="O747" i="1"/>
  <c r="O763" i="1"/>
  <c r="O779" i="1"/>
  <c r="O795" i="1"/>
  <c r="O811" i="1"/>
  <c r="O827" i="1"/>
  <c r="O843" i="1"/>
  <c r="O70" i="1"/>
  <c r="O494" i="1"/>
  <c r="O614" i="1"/>
  <c r="O700" i="1"/>
  <c r="O772" i="1"/>
  <c r="O816" i="1"/>
  <c r="O848" i="1"/>
  <c r="O867" i="1"/>
  <c r="O883" i="1"/>
  <c r="O899" i="1"/>
  <c r="O915" i="1"/>
  <c r="O931" i="1"/>
  <c r="O947" i="1"/>
  <c r="O963" i="1"/>
  <c r="O979" i="1"/>
  <c r="O995" i="1"/>
  <c r="O1011" i="1"/>
  <c r="O1027" i="1"/>
  <c r="O1043" i="1"/>
  <c r="O1059" i="1"/>
  <c r="O849" i="1"/>
  <c r="O377" i="1"/>
  <c r="O474" i="1"/>
  <c r="O506" i="1"/>
  <c r="O538" i="1"/>
  <c r="O570" i="1"/>
  <c r="O601" i="1"/>
  <c r="O622" i="1"/>
  <c r="O644" i="1"/>
  <c r="O665" i="1"/>
  <c r="O686" i="1"/>
  <c r="O708" i="1"/>
  <c r="O729" i="1"/>
  <c r="O746" i="1"/>
  <c r="O762" i="1"/>
  <c r="O778" i="1"/>
  <c r="O794" i="1"/>
  <c r="O246" i="1"/>
  <c r="O381" i="1"/>
  <c r="O445" i="1"/>
  <c r="O485" i="1"/>
  <c r="O517" i="1"/>
  <c r="O549" i="1"/>
  <c r="O581" i="1"/>
  <c r="O608" i="1"/>
  <c r="O629" i="1"/>
  <c r="O650" i="1"/>
  <c r="O672" i="1"/>
  <c r="O693" i="1"/>
  <c r="O714" i="1"/>
  <c r="O735" i="1"/>
  <c r="O751" i="1"/>
  <c r="O767" i="1"/>
  <c r="O783" i="1"/>
  <c r="O799" i="1"/>
  <c r="O815" i="1"/>
  <c r="O831" i="1"/>
  <c r="O847" i="1"/>
  <c r="O326" i="1"/>
  <c r="O526" i="1"/>
  <c r="O636" i="1"/>
  <c r="O721" i="1"/>
  <c r="O788" i="1"/>
  <c r="O824" i="1"/>
  <c r="O854" i="1"/>
  <c r="O871" i="1"/>
  <c r="O887" i="1"/>
  <c r="O903" i="1"/>
  <c r="O919" i="1"/>
  <c r="O935" i="1"/>
  <c r="O951" i="1"/>
  <c r="O967" i="1"/>
  <c r="O983" i="1"/>
  <c r="O999" i="1"/>
  <c r="O1015" i="1"/>
  <c r="O1031" i="1"/>
  <c r="O1047" i="1"/>
  <c r="O682" i="1"/>
  <c r="O725" i="1"/>
  <c r="O759" i="1"/>
  <c r="O791" i="1"/>
  <c r="O823" i="1"/>
  <c r="O855" i="1"/>
  <c r="O590" i="1"/>
  <c r="O756" i="1"/>
  <c r="O840" i="1"/>
  <c r="O879" i="1"/>
  <c r="O911" i="1"/>
  <c r="O943" i="1"/>
  <c r="O975" i="1"/>
  <c r="O1007" i="1"/>
  <c r="O1039" i="1"/>
  <c r="O1067" i="1"/>
  <c r="O1083" i="1"/>
  <c r="O1099" i="1"/>
  <c r="O1115" i="1"/>
  <c r="O1131" i="1"/>
  <c r="O1147" i="1"/>
  <c r="O1163" i="1"/>
  <c r="O1179" i="1"/>
  <c r="O1195" i="1"/>
  <c r="O134" i="1"/>
  <c r="O502" i="1"/>
  <c r="O620" i="1"/>
  <c r="O705" i="1"/>
  <c r="O776" i="1"/>
  <c r="O698" i="1"/>
  <c r="O739" i="1"/>
  <c r="O771" i="1"/>
  <c r="O803" i="1"/>
  <c r="O835" i="1"/>
  <c r="O401" i="1"/>
  <c r="O657" i="1"/>
  <c r="O800" i="1"/>
  <c r="O859" i="1"/>
  <c r="O891" i="1"/>
  <c r="O923" i="1"/>
  <c r="O955" i="1"/>
  <c r="O987" i="1"/>
  <c r="O1019" i="1"/>
  <c r="O1051" i="1"/>
  <c r="O1071" i="1"/>
  <c r="O1087" i="1"/>
  <c r="O1103" i="1"/>
  <c r="O1119" i="1"/>
  <c r="O1135" i="1"/>
  <c r="O1151" i="1"/>
  <c r="O1167" i="1"/>
  <c r="O1183" i="1"/>
  <c r="O1199" i="1"/>
  <c r="O353" i="1"/>
  <c r="O534" i="1"/>
  <c r="O641" i="1"/>
  <c r="O726" i="1"/>
  <c r="O792" i="1"/>
  <c r="O704" i="1"/>
  <c r="O743" i="1"/>
  <c r="O775" i="1"/>
  <c r="O807" i="1"/>
  <c r="O839" i="1"/>
  <c r="O462" i="1"/>
  <c r="O678" i="1"/>
  <c r="O808" i="1"/>
  <c r="O863" i="1"/>
  <c r="O895" i="1"/>
  <c r="O927" i="1"/>
  <c r="O959" i="1"/>
  <c r="O991" i="1"/>
  <c r="O1023" i="1"/>
  <c r="O1055" i="1"/>
  <c r="O1075" i="1"/>
  <c r="O1091" i="1"/>
  <c r="O1107" i="1"/>
  <c r="O1123" i="1"/>
  <c r="O1139" i="1"/>
  <c r="O1155" i="1"/>
  <c r="O1171" i="1"/>
  <c r="O1187" i="1"/>
  <c r="O4" i="1"/>
  <c r="O417" i="1"/>
  <c r="O566" i="1"/>
  <c r="O662" i="1"/>
  <c r="O744" i="1"/>
  <c r="O802" i="1"/>
  <c r="O834" i="1"/>
  <c r="O860" i="1"/>
  <c r="O876" i="1"/>
  <c r="O892" i="1"/>
  <c r="O908" i="1"/>
  <c r="O924" i="1"/>
  <c r="O940" i="1"/>
  <c r="O956" i="1"/>
  <c r="O972" i="1"/>
  <c r="O988" i="1"/>
  <c r="O1004" i="1"/>
  <c r="O1020" i="1"/>
  <c r="O1036" i="1"/>
  <c r="O1052" i="1"/>
  <c r="O1068" i="1"/>
  <c r="O1084" i="1"/>
  <c r="O1100" i="1"/>
  <c r="O1116" i="1"/>
  <c r="O1132" i="1"/>
  <c r="O1148" i="1"/>
  <c r="O1164" i="1"/>
  <c r="O1180" i="1"/>
  <c r="O1196" i="1"/>
  <c r="O198" i="1"/>
  <c r="O510" i="1"/>
  <c r="O625" i="1"/>
  <c r="O710" i="1"/>
  <c r="O780" i="1"/>
  <c r="O820" i="1"/>
  <c r="O852" i="1"/>
  <c r="O869" i="1"/>
  <c r="O885" i="1"/>
  <c r="O901" i="1"/>
  <c r="O917" i="1"/>
  <c r="O933" i="1"/>
  <c r="O949" i="1"/>
  <c r="O965" i="1"/>
  <c r="O981" i="1"/>
  <c r="O997" i="1"/>
  <c r="O1013" i="1"/>
  <c r="O1029" i="1"/>
  <c r="O1045" i="1"/>
  <c r="O1061" i="1"/>
  <c r="O1077" i="1"/>
  <c r="O1093" i="1"/>
  <c r="O1109" i="1"/>
  <c r="O1125" i="1"/>
  <c r="O1141" i="1"/>
  <c r="O1157" i="1"/>
  <c r="O1173" i="1"/>
  <c r="O1189" i="1"/>
  <c r="O6" i="1"/>
  <c r="O486" i="1"/>
  <c r="O609" i="1"/>
  <c r="O694" i="1"/>
  <c r="O768" i="1"/>
  <c r="O677" i="1"/>
  <c r="O720" i="1"/>
  <c r="O755" i="1"/>
  <c r="O787" i="1"/>
  <c r="O819" i="1"/>
  <c r="O851" i="1"/>
  <c r="O558" i="1"/>
  <c r="O740" i="1"/>
  <c r="O832" i="1"/>
  <c r="O875" i="1"/>
  <c r="O907" i="1"/>
  <c r="O939" i="1"/>
  <c r="O971" i="1"/>
  <c r="O1003" i="1"/>
  <c r="O1035" i="1"/>
  <c r="O1063" i="1"/>
  <c r="O1079" i="1"/>
  <c r="O1095" i="1"/>
  <c r="O1111" i="1"/>
  <c r="O1127" i="1"/>
  <c r="O1143" i="1"/>
  <c r="O1159" i="1"/>
  <c r="O1175" i="1"/>
  <c r="O1191" i="1"/>
  <c r="O8" i="1"/>
  <c r="O470" i="1"/>
  <c r="O598" i="1"/>
  <c r="O684" i="1"/>
  <c r="O760" i="1"/>
  <c r="O810" i="1"/>
  <c r="O842" i="1"/>
  <c r="O864" i="1"/>
  <c r="O880" i="1"/>
  <c r="O896" i="1"/>
  <c r="O912" i="1"/>
  <c r="O928" i="1"/>
  <c r="O944" i="1"/>
  <c r="O960" i="1"/>
  <c r="O976" i="1"/>
  <c r="O992" i="1"/>
  <c r="O1008" i="1"/>
  <c r="O1024" i="1"/>
  <c r="O1040" i="1"/>
  <c r="O1056" i="1"/>
  <c r="O1072" i="1"/>
  <c r="O1088" i="1"/>
  <c r="O1104" i="1"/>
  <c r="O1120" i="1"/>
  <c r="O1136" i="1"/>
  <c r="O1152" i="1"/>
  <c r="O1168" i="1"/>
  <c r="O1184" i="1"/>
  <c r="O1200" i="1"/>
  <c r="O369" i="1"/>
  <c r="O542" i="1"/>
  <c r="O646" i="1"/>
  <c r="O732" i="1"/>
  <c r="O796" i="1"/>
  <c r="O828" i="1"/>
  <c r="O857" i="1"/>
  <c r="O873" i="1"/>
  <c r="O889" i="1"/>
  <c r="O905" i="1"/>
  <c r="O921" i="1"/>
  <c r="O937" i="1"/>
  <c r="O953" i="1"/>
  <c r="O969" i="1"/>
  <c r="O985" i="1"/>
  <c r="O1001" i="1"/>
  <c r="O1017" i="1"/>
  <c r="O1033" i="1"/>
  <c r="O1049" i="1"/>
  <c r="O1065" i="1"/>
  <c r="O1081" i="1"/>
  <c r="O1097" i="1"/>
  <c r="O1113" i="1"/>
  <c r="O1129" i="1"/>
  <c r="O1145" i="1"/>
  <c r="O1161" i="1"/>
  <c r="O1177" i="1"/>
  <c r="O1193" i="1"/>
  <c r="O262" i="1"/>
  <c r="O518" i="1"/>
  <c r="O630" i="1"/>
  <c r="O716" i="1"/>
  <c r="O784" i="1"/>
  <c r="O926" i="1"/>
  <c r="O1076" i="1"/>
  <c r="O836" i="1"/>
  <c r="O909" i="1"/>
  <c r="O1037" i="1"/>
  <c r="O1165" i="1"/>
  <c r="O846" i="1"/>
  <c r="O914" i="1"/>
  <c r="O962" i="1"/>
  <c r="O1158" i="1"/>
  <c r="O1178" i="1"/>
  <c r="O990" i="1"/>
  <c r="O850" i="1"/>
  <c r="O884" i="1"/>
  <c r="O916" i="1"/>
  <c r="O948" i="1"/>
  <c r="O1012" i="1"/>
  <c r="O1108" i="1"/>
  <c r="O5" i="1"/>
  <c r="O973" i="1"/>
  <c r="O1101" i="1"/>
  <c r="O550" i="1"/>
  <c r="O898" i="1"/>
  <c r="O978" i="1"/>
  <c r="O986" i="1"/>
  <c r="O1026" i="1"/>
  <c r="O1182" i="1"/>
  <c r="O856" i="1"/>
  <c r="O888" i="1"/>
  <c r="O920" i="1"/>
  <c r="O952" i="1"/>
  <c r="O984" i="1"/>
  <c r="O1016" i="1"/>
  <c r="O1048" i="1"/>
  <c r="O1080" i="1"/>
  <c r="O1112" i="1"/>
  <c r="O1144" i="1"/>
  <c r="O1176" i="1"/>
  <c r="O9" i="1"/>
  <c r="O604" i="1"/>
  <c r="O764" i="1"/>
  <c r="O844" i="1"/>
  <c r="O881" i="1"/>
  <c r="O913" i="1"/>
  <c r="O945" i="1"/>
  <c r="O977" i="1"/>
  <c r="O1009" i="1"/>
  <c r="O1041" i="1"/>
  <c r="O1073" i="1"/>
  <c r="O1105" i="1"/>
  <c r="O1137" i="1"/>
  <c r="O1169" i="1"/>
  <c r="O1201" i="1"/>
  <c r="O582" i="1"/>
  <c r="O752" i="1"/>
  <c r="O822" i="1"/>
  <c r="O853" i="1"/>
  <c r="O870" i="1"/>
  <c r="O886" i="1"/>
  <c r="O902" i="1"/>
  <c r="O918" i="1"/>
  <c r="O934" i="1"/>
  <c r="O950" i="1"/>
  <c r="O966" i="1"/>
  <c r="O982" i="1"/>
  <c r="O1046" i="1"/>
  <c r="O1110" i="1"/>
  <c r="O1174" i="1"/>
  <c r="O1002" i="1"/>
  <c r="O1066" i="1"/>
  <c r="O1130" i="1"/>
  <c r="O1194" i="1"/>
  <c r="O1042" i="1"/>
  <c r="O1106" i="1"/>
  <c r="O1170" i="1"/>
  <c r="O1006" i="1"/>
  <c r="O1070" i="1"/>
  <c r="O1134" i="1"/>
  <c r="O1198" i="1"/>
  <c r="O826" i="1"/>
  <c r="O936" i="1"/>
  <c r="O1000" i="1"/>
  <c r="O1064" i="1"/>
  <c r="O1128" i="1"/>
  <c r="O1192" i="1"/>
  <c r="O689" i="1"/>
  <c r="O865" i="1"/>
  <c r="O897" i="1"/>
  <c r="O961" i="1"/>
  <c r="O1025" i="1"/>
  <c r="O1089" i="1"/>
  <c r="O1153" i="1"/>
  <c r="O449" i="1"/>
  <c r="O838" i="1"/>
  <c r="O878" i="1"/>
  <c r="O910" i="1"/>
  <c r="O958" i="1"/>
  <c r="O1014" i="1"/>
  <c r="O1142" i="1"/>
  <c r="O1034" i="1"/>
  <c r="O1010" i="1"/>
  <c r="O1074" i="1"/>
  <c r="O3" i="1"/>
  <c r="O1102" i="1"/>
  <c r="O980" i="1"/>
  <c r="O1140" i="1"/>
  <c r="O574" i="1"/>
  <c r="O877" i="1"/>
  <c r="O1005" i="1"/>
  <c r="O1133" i="1"/>
  <c r="O736" i="1"/>
  <c r="O866" i="1"/>
  <c r="O930" i="1"/>
  <c r="O1030" i="1"/>
  <c r="O1050" i="1"/>
  <c r="O1090" i="1"/>
  <c r="O1054" i="1"/>
  <c r="O818" i="1"/>
  <c r="O868" i="1"/>
  <c r="O900" i="1"/>
  <c r="O932" i="1"/>
  <c r="O964" i="1"/>
  <c r="O996" i="1"/>
  <c r="O1028" i="1"/>
  <c r="O1060" i="1"/>
  <c r="O1092" i="1"/>
  <c r="O1124" i="1"/>
  <c r="O1156" i="1"/>
  <c r="O1188" i="1"/>
  <c r="O433" i="1"/>
  <c r="O668" i="1"/>
  <c r="O804" i="1"/>
  <c r="O861" i="1"/>
  <c r="O893" i="1"/>
  <c r="O925" i="1"/>
  <c r="O957" i="1"/>
  <c r="O989" i="1"/>
  <c r="O1021" i="1"/>
  <c r="O1053" i="1"/>
  <c r="O1085" i="1"/>
  <c r="O1117" i="1"/>
  <c r="O1149" i="1"/>
  <c r="O1181" i="1"/>
  <c r="O385" i="1"/>
  <c r="O652" i="1"/>
  <c r="O798" i="1"/>
  <c r="O830" i="1"/>
  <c r="O858" i="1"/>
  <c r="O874" i="1"/>
  <c r="O890" i="1"/>
  <c r="O906" i="1"/>
  <c r="O922" i="1"/>
  <c r="O938" i="1"/>
  <c r="O954" i="1"/>
  <c r="O970" i="1"/>
  <c r="O998" i="1"/>
  <c r="O1062" i="1"/>
  <c r="O1126" i="1"/>
  <c r="O1190" i="1"/>
  <c r="O1018" i="1"/>
  <c r="O1082" i="1"/>
  <c r="O1146" i="1"/>
  <c r="O994" i="1"/>
  <c r="O1058" i="1"/>
  <c r="O1122" i="1"/>
  <c r="O1186" i="1"/>
  <c r="O1022" i="1"/>
  <c r="O1086" i="1"/>
  <c r="O1150" i="1"/>
  <c r="O872" i="1"/>
  <c r="O904" i="1"/>
  <c r="O968" i="1"/>
  <c r="O1032" i="1"/>
  <c r="O1096" i="1"/>
  <c r="O1160" i="1"/>
  <c r="O478" i="1"/>
  <c r="O812" i="1"/>
  <c r="O929" i="1"/>
  <c r="O993" i="1"/>
  <c r="O1057" i="1"/>
  <c r="O1121" i="1"/>
  <c r="O1185" i="1"/>
  <c r="O673" i="1"/>
  <c r="O806" i="1"/>
  <c r="O862" i="1"/>
  <c r="O894" i="1"/>
  <c r="O942" i="1"/>
  <c r="O974" i="1"/>
  <c r="O1078" i="1"/>
  <c r="O7" i="1"/>
  <c r="O1098" i="1"/>
  <c r="O1162" i="1"/>
  <c r="O1138" i="1"/>
  <c r="O1038" i="1"/>
  <c r="O1166" i="1"/>
  <c r="O1044" i="1"/>
  <c r="O1172" i="1"/>
  <c r="O748" i="1"/>
  <c r="O941" i="1"/>
  <c r="O1069" i="1"/>
  <c r="O1197" i="1"/>
  <c r="O814" i="1"/>
  <c r="O882" i="1"/>
  <c r="O946" i="1"/>
  <c r="O1094" i="1"/>
  <c r="O1114" i="1"/>
  <c r="O1154" i="1"/>
  <c r="O1118" i="1"/>
  <c r="O281" i="1"/>
  <c r="O362" i="1"/>
  <c r="O575" i="1"/>
  <c r="O356" i="1"/>
  <c r="O214" i="1"/>
  <c r="O717" i="1"/>
  <c r="O92" i="1"/>
  <c r="E9" i="2"/>
  <c r="E8" i="2"/>
  <c r="B25" i="2" l="1"/>
  <c r="B24" i="2"/>
</calcChain>
</file>

<file path=xl/sharedStrings.xml><?xml version="1.0" encoding="utf-8"?>
<sst xmlns="http://schemas.openxmlformats.org/spreadsheetml/2006/main" count="10915" uniqueCount="4341">
  <si>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</si>
  <si>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</si>
  <si>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</si>
  <si>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</si>
  <si>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</si>
  <si>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</si>
  <si>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</si>
  <si>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</si>
  <si>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</si>
  <si>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</si>
  <si>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</si>
  <si>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</si>
  <si>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</si>
  <si>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</si>
  <si>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</si>
  <si>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</si>
  <si>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</si>
  <si>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</si>
  <si>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</si>
  <si>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</si>
  <si>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</si>
  <si>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</si>
  <si>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</si>
  <si>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</si>
  <si>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</si>
  <si>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</si>
  <si>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</si>
  <si>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</si>
  <si>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</si>
  <si>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</si>
  <si>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</si>
  <si>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</si>
  <si>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</si>
  <si>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</si>
  <si>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</si>
  <si>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</si>
  <si>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</si>
  <si>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</si>
  <si>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</si>
  <si>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</si>
  <si>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</si>
  <si>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</si>
  <si>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</si>
  <si>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</si>
  <si>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</si>
  <si>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</si>
  <si>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</si>
  <si>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</si>
  <si>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</si>
  <si>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</si>
  <si>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</si>
  <si>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</si>
  <si>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</si>
  <si>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</si>
  <si>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</si>
  <si>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</si>
  <si>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</si>
  <si>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</si>
  <si>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</si>
  <si>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</si>
  <si>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</si>
  <si>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</si>
  <si>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</si>
  <si>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</si>
  <si>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</si>
  <si>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</si>
  <si>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</si>
  <si>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</si>
  <si>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</si>
  <si>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</si>
  <si>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</si>
  <si>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</si>
  <si>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</si>
  <si>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</si>
  <si>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</si>
  <si>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</si>
  <si>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</si>
  <si>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</si>
  <si>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</si>
  <si>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</si>
  <si>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</si>
  <si>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</si>
  <si>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</si>
  <si>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</si>
  <si>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</si>
  <si>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</si>
  <si>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</si>
  <si>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</si>
  <si>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</si>
  <si>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</si>
  <si>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</si>
  <si>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</si>
  <si>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</si>
  <si>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</si>
  <si>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</si>
  <si>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</si>
  <si>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</si>
  <si>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</si>
  <si>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</si>
  <si>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</si>
  <si>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</si>
  <si>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</si>
  <si>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</si>
  <si>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</si>
  <si>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</si>
  <si>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</si>
  <si>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</si>
  <si>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</si>
  <si>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</si>
  <si>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</si>
  <si>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</si>
  <si>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</si>
  <si>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</si>
  <si>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</si>
  <si>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</si>
  <si>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</si>
  <si>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</si>
  <si>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</si>
  <si>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</si>
  <si>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</si>
  <si>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</si>
  <si>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</si>
  <si>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</si>
  <si>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</si>
  <si>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</si>
  <si>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</si>
  <si>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</si>
  <si>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</si>
  <si>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</si>
  <si>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</si>
  <si>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</si>
  <si>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</si>
  <si>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</si>
  <si>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</si>
  <si>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</si>
  <si>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</si>
  <si>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</si>
  <si>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</si>
  <si>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</si>
  <si>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</si>
  <si>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</si>
  <si>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</si>
  <si>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</si>
  <si>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</si>
  <si>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</si>
  <si>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</si>
  <si>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</si>
  <si>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</si>
  <si>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</si>
  <si>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</si>
  <si>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</si>
  <si>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</si>
  <si>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</si>
  <si>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</si>
  <si>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</si>
  <si>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</si>
  <si>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</si>
  <si>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</si>
  <si>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</si>
  <si>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</si>
  <si>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</si>
  <si>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</si>
  <si>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</si>
  <si>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</si>
  <si>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</si>
  <si>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</si>
  <si>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</si>
  <si>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</si>
  <si>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</si>
  <si>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</si>
  <si>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</si>
  <si>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</si>
  <si>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</si>
  <si>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</si>
  <si>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</si>
  <si>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</si>
  <si>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</si>
  <si>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</si>
  <si>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</si>
  <si>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</si>
  <si>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</si>
  <si>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</si>
  <si>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</si>
  <si>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</si>
  <si>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</si>
  <si>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</si>
  <si>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</si>
  <si>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</si>
  <si>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</si>
  <si>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</si>
  <si>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</si>
  <si>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</si>
  <si>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</si>
  <si>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</si>
  <si>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</si>
  <si>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</si>
  <si>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</si>
  <si>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</si>
  <si>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</si>
  <si>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</si>
  <si>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</si>
  <si>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</si>
  <si>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</si>
  <si>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</si>
  <si>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</si>
  <si>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</si>
  <si>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</si>
  <si>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</si>
  <si>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</si>
  <si>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</si>
  <si>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</si>
  <si>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</si>
  <si>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</si>
  <si>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</si>
  <si>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</si>
  <si>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</si>
  <si>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</si>
  <si>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</si>
  <si>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</si>
  <si>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</si>
  <si>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</si>
  <si>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</si>
  <si>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</si>
  <si>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</si>
  <si>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</si>
  <si>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</si>
  <si>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</si>
  <si>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</si>
  <si>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</si>
  <si>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</si>
  <si>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</si>
  <si>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</si>
  <si>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</si>
  <si>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</si>
  <si>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</si>
  <si>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</si>
  <si>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</si>
  <si>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</si>
  <si>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</si>
  <si>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</si>
  <si>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</si>
  <si>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</si>
  <si>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</si>
  <si>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</si>
  <si>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</si>
  <si>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</si>
  <si>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</si>
  <si>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</si>
  <si>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</si>
  <si>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</si>
  <si>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</si>
  <si>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</si>
  <si>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</si>
  <si>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</si>
  <si>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</si>
  <si>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</si>
  <si>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</si>
  <si>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</si>
  <si>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</si>
  <si>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</si>
  <si>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</si>
  <si>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</si>
  <si>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</si>
  <si>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</si>
  <si>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</si>
  <si>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</si>
  <si>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</si>
  <si>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</si>
  <si>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</si>
  <si>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</si>
  <si>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</si>
  <si>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</si>
  <si>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</si>
  <si>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</si>
  <si>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</si>
  <si>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</si>
  <si>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</si>
  <si>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</si>
  <si>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</si>
  <si>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</si>
  <si>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</si>
  <si>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</si>
  <si>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</si>
  <si>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</si>
  <si>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</si>
  <si>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</si>
  <si>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</si>
  <si>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</si>
  <si>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</si>
  <si>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</si>
  <si>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</si>
  <si>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</si>
  <si>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</si>
  <si>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</si>
  <si>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</si>
  <si>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</si>
  <si>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</si>
  <si>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</si>
  <si>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</si>
  <si>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</si>
  <si>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</si>
  <si>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</si>
  <si>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</si>
  <si>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</si>
  <si>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</si>
  <si>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</si>
  <si>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</si>
  <si>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</si>
  <si>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</si>
  <si>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</si>
  <si>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</si>
  <si>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</si>
  <si>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</si>
  <si>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</si>
  <si>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</si>
  <si>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</si>
  <si>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</si>
  <si>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</si>
  <si>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</si>
  <si>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</si>
  <si>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</si>
  <si>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</si>
  <si>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</si>
  <si>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</si>
  <si>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</si>
  <si>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</si>
  <si>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</si>
  <si>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</si>
  <si>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</si>
  <si>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</si>
  <si>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</si>
  <si>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</si>
  <si>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</si>
  <si>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</si>
  <si>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</si>
  <si>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</si>
  <si>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</si>
  <si>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</si>
  <si>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</si>
  <si>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</si>
  <si>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</si>
  <si>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</si>
  <si>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</si>
  <si>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</si>
  <si>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</si>
  <si>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</si>
  <si>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</si>
  <si>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</si>
  <si>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</si>
  <si>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</si>
  <si>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</si>
  <si>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</si>
  <si>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</si>
  <si>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</si>
  <si>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</si>
  <si>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</si>
  <si>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</si>
  <si>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</si>
  <si>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</si>
  <si>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</si>
  <si>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</si>
  <si>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</si>
  <si>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</si>
  <si>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</si>
  <si>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</si>
  <si>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</si>
  <si>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</si>
  <si>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</si>
  <si>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</si>
  <si>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</si>
  <si>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</si>
  <si>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</si>
  <si>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</si>
  <si>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</si>
  <si>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</si>
  <si>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</si>
  <si>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</si>
  <si>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</si>
  <si>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</si>
  <si>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</si>
  <si>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</si>
  <si>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</si>
  <si>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</si>
  <si>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</si>
  <si>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</si>
  <si>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</si>
  <si>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</si>
  <si>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</si>
  <si>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</si>
  <si>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</si>
  <si>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</si>
  <si>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</si>
  <si>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</si>
  <si>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</si>
  <si>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</si>
  <si>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</si>
  <si>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</si>
  <si>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</si>
  <si>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</si>
  <si>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</si>
  <si>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</si>
  <si>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</si>
  <si>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</si>
  <si>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</si>
  <si>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</si>
  <si>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</si>
  <si>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</si>
  <si>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</si>
  <si>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</si>
  <si>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</si>
  <si>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</si>
  <si>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</si>
  <si>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</si>
  <si>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</si>
  <si>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</si>
  <si>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</si>
  <si>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</si>
  <si>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</si>
  <si>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</si>
  <si>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</si>
  <si>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</si>
  <si>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</si>
  <si>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</si>
  <si>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</si>
  <si>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</si>
  <si>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</si>
  <si>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</si>
  <si>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</si>
  <si>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</si>
  <si>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</si>
  <si>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</si>
  <si>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</si>
  <si>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</si>
  <si>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</si>
  <si>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</si>
  <si>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</si>
  <si>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</si>
  <si>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</si>
  <si>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</si>
  <si>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</si>
  <si>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</si>
  <si>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</si>
  <si>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</si>
  <si>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</si>
  <si>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</si>
  <si>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</si>
  <si>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</si>
  <si>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</si>
  <si>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</si>
  <si>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</si>
  <si>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</si>
  <si>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</si>
  <si>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</si>
  <si>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</si>
  <si>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</si>
  <si>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</si>
  <si>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</si>
  <si>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</si>
  <si>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</si>
  <si>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</si>
  <si>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</si>
  <si>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</si>
  <si>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</si>
  <si>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</si>
  <si>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</si>
  <si>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</si>
  <si>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</si>
  <si>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</si>
  <si>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</si>
  <si>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</si>
  <si>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</si>
  <si>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</si>
  <si>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</si>
  <si>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</si>
  <si>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</si>
  <si>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</si>
  <si>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</si>
  <si>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</si>
  <si>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</si>
  <si>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</si>
  <si>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</si>
  <si>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</si>
  <si>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</si>
  <si>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</si>
  <si>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</si>
  <si>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</si>
  <si>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</si>
  <si>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</si>
  <si>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</si>
  <si>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</si>
  <si>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</si>
  <si>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</si>
  <si>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</si>
  <si>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</si>
  <si>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</si>
  <si>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</si>
  <si>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</si>
  <si>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</si>
  <si>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</si>
  <si>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</si>
  <si>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</si>
  <si>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</si>
  <si>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</si>
  <si>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</si>
  <si>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</si>
  <si>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</si>
  <si>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</si>
  <si>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</si>
  <si>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</si>
  <si>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</si>
  <si>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</si>
  <si>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</si>
  <si>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</si>
  <si>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</si>
  <si>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</si>
  <si>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</si>
  <si>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</si>
  <si>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</si>
  <si>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</si>
  <si>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</si>
  <si>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</si>
  <si>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</si>
  <si>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</si>
  <si>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</si>
  <si>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</si>
  <si>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</si>
  <si>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</si>
  <si>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</si>
  <si>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</si>
  <si>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</si>
  <si>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</si>
  <si>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</si>
  <si>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</si>
  <si>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</si>
  <si>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</si>
  <si>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</si>
  <si>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</si>
  <si>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</si>
  <si>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</si>
  <si>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</si>
  <si>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</si>
  <si>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</si>
  <si>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</si>
  <si>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</si>
  <si>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</si>
  <si>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</si>
  <si>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</si>
  <si>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</si>
  <si>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</si>
  <si>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</si>
  <si>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</si>
  <si>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</si>
  <si>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</si>
  <si>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</si>
  <si>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</si>
  <si>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</si>
  <si>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</si>
  <si>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</si>
  <si>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</si>
  <si>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</si>
  <si>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</si>
  <si>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</si>
  <si>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</si>
  <si>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</si>
  <si>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</si>
  <si>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</si>
  <si>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</si>
  <si>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</si>
  <si>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</si>
  <si>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</si>
  <si>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</si>
  <si>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</si>
  <si>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</si>
  <si>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</si>
  <si>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</si>
  <si>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</si>
  <si>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</si>
  <si>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</si>
  <si>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</si>
  <si>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</si>
  <si>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</si>
  <si>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</si>
  <si>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</si>
  <si>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</si>
  <si>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</si>
  <si>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</si>
  <si>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</si>
  <si>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</si>
  <si>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</si>
  <si>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</si>
  <si>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</si>
  <si>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</si>
  <si>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</si>
  <si>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</si>
  <si>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</si>
  <si>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</si>
  <si>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</si>
  <si>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</si>
  <si>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</si>
  <si>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</si>
  <si>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</si>
  <si>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</si>
  <si>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</si>
  <si>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</si>
  <si>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</si>
  <si>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</si>
  <si>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</si>
  <si>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</si>
  <si>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</si>
  <si>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</si>
  <si>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</si>
  <si>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</si>
  <si>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</si>
  <si>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</si>
  <si>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</si>
  <si>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</si>
  <si>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</si>
  <si>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</si>
  <si>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</si>
  <si>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</si>
  <si>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</si>
  <si>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</si>
  <si>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</si>
  <si>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</si>
  <si>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</si>
  <si>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</si>
  <si>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</si>
  <si>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</si>
  <si>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</si>
  <si>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</si>
  <si>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</si>
  <si>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</si>
  <si>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</si>
  <si>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</si>
  <si>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</si>
  <si>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</si>
  <si>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</si>
  <si>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</si>
  <si>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</si>
  <si>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</si>
  <si>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</si>
  <si>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</si>
  <si>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</si>
  <si>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</si>
  <si>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</si>
  <si>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</si>
  <si>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</si>
  <si>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</si>
  <si>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</si>
  <si>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</si>
  <si>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</si>
  <si>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</si>
  <si>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</si>
  <si>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</si>
  <si>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</si>
  <si>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</si>
  <si>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</si>
  <si>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</si>
  <si>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</si>
  <si>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</si>
  <si>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</si>
  <si>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</si>
  <si>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</si>
  <si>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</si>
  <si>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</si>
  <si>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</si>
  <si>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</si>
  <si>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</si>
  <si>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</si>
  <si>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</si>
  <si>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</si>
  <si>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</si>
  <si>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</si>
  <si>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</si>
  <si>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</si>
  <si>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</si>
  <si>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</si>
  <si>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</si>
  <si>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</si>
  <si>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</si>
  <si>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</si>
  <si>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</si>
  <si>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</si>
  <si>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</si>
  <si>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</si>
  <si>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</si>
  <si>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</si>
  <si>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</si>
  <si>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</si>
  <si>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</si>
  <si>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</si>
  <si>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</si>
  <si>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</si>
  <si>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</si>
  <si>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</si>
  <si>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</si>
  <si>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</si>
  <si>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</si>
  <si>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</si>
  <si>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</si>
  <si>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</si>
  <si>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</si>
  <si>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</si>
  <si>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</si>
  <si>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</si>
  <si>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</si>
  <si>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</si>
  <si>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</si>
  <si>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</si>
  <si>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</si>
  <si>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</si>
  <si>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</si>
  <si>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</si>
  <si>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</si>
  <si>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</si>
  <si>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</si>
  <si>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</si>
  <si>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</si>
  <si>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</si>
  <si>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</si>
  <si>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</si>
  <si>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</si>
  <si>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</si>
  <si>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</si>
  <si>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</si>
  <si>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</si>
  <si>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</si>
  <si>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</si>
  <si>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</si>
  <si>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</si>
  <si>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</si>
  <si>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</si>
  <si>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</si>
  <si>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</si>
  <si>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</si>
  <si>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</si>
  <si>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</si>
  <si>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</si>
  <si>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</si>
  <si>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</si>
  <si>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</si>
  <si>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</si>
  <si>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</si>
  <si>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</si>
  <si>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</si>
  <si>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</si>
  <si>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</si>
  <si>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</si>
  <si>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</si>
  <si>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</si>
  <si>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</si>
  <si>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</si>
  <si>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</si>
  <si>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</si>
  <si>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</si>
  <si>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</si>
  <si>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</si>
  <si>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</si>
  <si>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</si>
  <si>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</si>
  <si>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</si>
  <si>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</si>
  <si>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</si>
  <si>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</si>
  <si>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</si>
  <si>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</si>
  <si>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</si>
  <si>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</si>
  <si>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</si>
  <si>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</si>
  <si>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</si>
  <si>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</si>
  <si>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</si>
  <si>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</si>
  <si>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</si>
  <si>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</si>
  <si>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</si>
  <si>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</si>
  <si>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</si>
  <si>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</si>
  <si>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</si>
  <si>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</si>
  <si>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</si>
  <si>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</si>
  <si>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</si>
  <si>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</si>
  <si>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</si>
  <si>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</si>
  <si>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</si>
  <si>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</si>
  <si>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</si>
  <si>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</si>
  <si>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</si>
  <si>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</si>
  <si>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</si>
  <si>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</si>
  <si>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</si>
  <si>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</si>
  <si>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</si>
  <si>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</si>
  <si>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</si>
  <si>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</si>
  <si>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</si>
  <si>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</si>
  <si>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</si>
  <si>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</si>
  <si>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</si>
  <si>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</si>
  <si>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</si>
  <si>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</si>
  <si>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</si>
  <si>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</si>
  <si>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</si>
  <si>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</si>
  <si>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</si>
  <si>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</si>
  <si>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</si>
  <si>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</si>
  <si>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</si>
  <si>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</si>
  <si>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</si>
  <si>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</si>
  <si>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</si>
  <si>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</si>
  <si>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</si>
  <si>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</si>
  <si>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</si>
  <si>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</si>
  <si>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</si>
  <si>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</si>
  <si>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</si>
  <si>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</si>
  <si>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</si>
  <si>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</si>
  <si>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</si>
  <si>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</si>
  <si>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</si>
  <si>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</si>
  <si>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</si>
  <si>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</si>
  <si>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</si>
  <si>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</si>
  <si>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</si>
  <si>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</si>
  <si>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</si>
  <si>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</si>
  <si>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</si>
  <si>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</si>
  <si>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</si>
  <si>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</si>
  <si>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</si>
  <si>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</si>
  <si>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</si>
  <si>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</si>
  <si>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</si>
  <si>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</si>
  <si>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</si>
  <si>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</si>
  <si>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</si>
  <si>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</si>
  <si>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</si>
  <si>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</si>
  <si>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</si>
  <si>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</si>
  <si>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</si>
  <si>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</si>
  <si>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</si>
  <si>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</si>
  <si>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</si>
  <si>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</si>
  <si>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</si>
  <si>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</si>
  <si>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</si>
  <si>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</si>
  <si>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</si>
  <si>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</si>
  <si>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</si>
  <si>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</si>
  <si>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</si>
  <si>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</si>
  <si>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</si>
  <si>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</si>
  <si>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</si>
  <si>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</si>
  <si>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</si>
  <si>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</si>
  <si>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</si>
  <si>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</si>
  <si>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</si>
  <si>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</si>
  <si>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</si>
  <si>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</si>
  <si>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</si>
  <si>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</si>
  <si>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</si>
  <si>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</si>
  <si>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</si>
  <si>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</si>
  <si>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</si>
  <si>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</si>
  <si>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</si>
  <si>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</si>
  <si>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</si>
  <si>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</si>
  <si>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</si>
  <si>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</si>
  <si>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</si>
  <si>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</si>
  <si>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</si>
  <si>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</si>
  <si>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</si>
  <si>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</si>
  <si>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</si>
  <si>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</si>
  <si>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</si>
  <si>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</si>
  <si>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</si>
  <si>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</si>
  <si>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</si>
  <si>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</si>
  <si>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</si>
  <si>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</si>
  <si>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</si>
  <si>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</si>
  <si>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</si>
  <si>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</si>
  <si>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</si>
  <si>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</si>
  <si>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</si>
  <si>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</si>
  <si>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</si>
  <si>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</si>
  <si>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</si>
  <si>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</si>
  <si>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</si>
  <si>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</si>
  <si>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</si>
  <si>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</si>
  <si>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</si>
  <si>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</si>
  <si>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</si>
  <si>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</si>
  <si>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</si>
  <si>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</si>
  <si>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</si>
  <si>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</si>
  <si>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</si>
  <si>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</si>
  <si>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</si>
  <si>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</si>
  <si>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</si>
  <si>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</si>
  <si>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</si>
  <si>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</si>
  <si>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</si>
  <si>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</si>
  <si>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</si>
  <si>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</si>
  <si>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</si>
  <si>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</si>
  <si>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</si>
  <si>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</si>
  <si>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</si>
  <si>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</si>
  <si>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</si>
  <si>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</si>
  <si>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</si>
  <si>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</si>
  <si>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</si>
  <si>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</si>
  <si>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</si>
  <si>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</si>
  <si>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</si>
  <si>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</si>
  <si>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</si>
  <si>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</si>
  <si>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</si>
  <si>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</si>
  <si>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</si>
  <si>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</si>
  <si>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</si>
  <si>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</si>
  <si>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</si>
  <si>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</si>
  <si>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</si>
  <si>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</si>
  <si>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</si>
  <si>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</si>
  <si>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</si>
  <si>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</si>
  <si>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</si>
  <si>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</si>
  <si>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</si>
  <si>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</si>
  <si>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</si>
  <si>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</si>
  <si>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</si>
  <si>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</si>
  <si>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</si>
  <si>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</si>
  <si>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</si>
  <si>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</si>
  <si>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</si>
  <si>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</si>
  <si>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</si>
  <si>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</si>
  <si>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</si>
  <si>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</si>
  <si>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</si>
  <si>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</si>
  <si>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</si>
  <si>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</si>
  <si>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</si>
  <si>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</si>
  <si>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</si>
  <si>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</si>
  <si>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</si>
  <si>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</si>
  <si>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</si>
  <si>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</si>
  <si>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</si>
  <si>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</si>
  <si>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</si>
  <si>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</si>
  <si>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</si>
  <si>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</si>
  <si>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</si>
  <si>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</si>
  <si>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</si>
  <si>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</si>
  <si>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</si>
  <si>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</si>
  <si>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</si>
  <si>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</si>
  <si>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</si>
  <si>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</si>
  <si>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</si>
  <si>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</si>
  <si>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</si>
  <si>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</si>
  <si>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</si>
  <si>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</si>
  <si>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</si>
  <si>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</si>
  <si>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</si>
  <si>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</si>
  <si>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</si>
  <si>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</si>
  <si>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</si>
  <si>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</si>
  <si>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</si>
  <si>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</si>
  <si>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</si>
  <si>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</si>
  <si>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</si>
  <si>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</si>
  <si>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</si>
  <si>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</si>
  <si>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</si>
  <si>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</si>
  <si>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</si>
  <si>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</si>
  <si>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</si>
  <si>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</si>
  <si>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</si>
  <si>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</si>
  <si>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</si>
  <si>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</si>
  <si>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</si>
  <si>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</si>
  <si>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</si>
  <si>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</si>
  <si>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</si>
  <si>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</si>
  <si>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</si>
  <si>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</si>
  <si>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</si>
  <si>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</si>
  <si>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</si>
  <si>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</si>
  <si>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</si>
  <si>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</si>
  <si>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</si>
  <si>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</si>
  <si>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</si>
  <si>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</si>
  <si>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</si>
  <si>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</si>
  <si>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</si>
  <si>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</si>
  <si>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</si>
  <si>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</si>
  <si>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</si>
  <si>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</si>
  <si>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</si>
  <si>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</si>
  <si>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</si>
  <si>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</si>
  <si>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</si>
  <si>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</si>
  <si>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</si>
  <si>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</si>
  <si>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</si>
  <si>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</si>
  <si>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</si>
  <si>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</si>
  <si>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</si>
  <si>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</si>
  <si>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</si>
  <si>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</si>
  <si>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</si>
  <si>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</si>
  <si>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</si>
  <si>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</si>
  <si>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</si>
  <si>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</si>
  <si>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</si>
  <si>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</si>
  <si>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</si>
  <si>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</si>
  <si>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</si>
  <si>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</si>
  <si>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</si>
  <si>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</si>
  <si>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</si>
  <si>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</si>
  <si>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</si>
  <si>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</si>
  <si>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</si>
  <si>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</si>
  <si>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</si>
  <si>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</si>
  <si>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</si>
  <si>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</si>
  <si>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</si>
  <si>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</si>
  <si>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</si>
  <si>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</si>
  <si>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</si>
  <si>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</si>
  <si>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</si>
  <si>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</si>
  <si>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</si>
  <si>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</si>
  <si>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</si>
  <si>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</si>
  <si>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</si>
  <si>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</si>
  <si>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</si>
  <si>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</si>
  <si>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</si>
  <si>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</si>
  <si>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</si>
  <si>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</si>
  <si>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</si>
  <si>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</si>
  <si>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</si>
  <si>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</si>
  <si>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</si>
  <si>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</si>
  <si>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</si>
  <si>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</si>
  <si>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</si>
  <si>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</si>
  <si>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</si>
  <si>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</si>
  <si>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</si>
  <si>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</si>
  <si>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</si>
  <si>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</si>
  <si>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</si>
  <si>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</si>
  <si>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</si>
  <si>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</si>
  <si>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</si>
  <si>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</si>
  <si>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</si>
  <si>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</si>
  <si>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</si>
  <si>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</si>
  <si>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</si>
  <si>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</si>
  <si>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</si>
  <si>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</si>
  <si>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</si>
  <si>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</si>
  <si>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</si>
  <si>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</si>
  <si>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</si>
  <si>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</si>
  <si>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</si>
  <si>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</si>
  <si>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</si>
  <si>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</si>
  <si>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</si>
  <si>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</si>
  <si>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</si>
  <si>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</si>
  <si>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</si>
  <si>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</si>
  <si>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</si>
  <si>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</si>
  <si>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</si>
  <si>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</si>
  <si>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</si>
  <si>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</si>
  <si>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</si>
  <si>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</si>
  <si>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</si>
  <si>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</si>
  <si>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</si>
  <si>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</si>
  <si>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</si>
  <si>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</si>
  <si>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</si>
  <si>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</si>
  <si>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</si>
  <si>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</si>
  <si>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</si>
  <si>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</si>
  <si>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</si>
  <si>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</si>
  <si>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</si>
  <si>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</si>
  <si>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</si>
  <si>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</si>
  <si>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</si>
  <si>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</si>
  <si>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</si>
  <si>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</si>
  <si>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</si>
  <si>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</si>
  <si>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</si>
  <si>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</si>
  <si>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</si>
  <si>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</si>
  <si>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</si>
  <si>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</si>
  <si>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</si>
  <si>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</si>
  <si>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</si>
  <si>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</si>
  <si>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</si>
  <si>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</si>
  <si>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</si>
  <si>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</si>
  <si>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</si>
  <si>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</si>
  <si>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</si>
  <si>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</si>
  <si>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</si>
  <si>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</si>
  <si>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</si>
  <si>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</si>
  <si>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</si>
  <si>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</si>
  <si>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</si>
  <si>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</si>
  <si>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</si>
  <si>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</si>
  <si>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</si>
  <si>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</si>
  <si>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</si>
  <si>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</si>
  <si>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</si>
  <si>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</si>
  <si>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</si>
  <si>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</si>
  <si>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</si>
  <si>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</si>
  <si>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</si>
  <si>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</si>
  <si>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</si>
  <si>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</si>
  <si>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</si>
  <si>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</si>
  <si>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</si>
  <si>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</si>
  <si>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</si>
  <si>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</si>
  <si>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</si>
  <si>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</si>
  <si>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</si>
  <si>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</si>
  <si>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</si>
  <si>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</si>
  <si>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</si>
  <si>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</si>
  <si>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</si>
  <si>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</si>
  <si>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</si>
  <si>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</si>
  <si>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</si>
  <si>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</si>
  <si>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</si>
  <si>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</si>
  <si>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</si>
  <si>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</si>
  <si>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</si>
  <si>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</si>
  <si>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</si>
  <si>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</si>
  <si>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</si>
  <si>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</si>
  <si>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</si>
  <si>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</si>
  <si>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</si>
  <si>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</si>
  <si>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</si>
  <si>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</si>
  <si>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</si>
  <si>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</si>
  <si>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</si>
  <si>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</si>
  <si>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</si>
  <si>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</si>
  <si>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</si>
  <si>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</si>
  <si>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</si>
  <si>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</si>
  <si>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</si>
  <si>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</si>
  <si>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</si>
  <si>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</si>
  <si>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</si>
  <si>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</si>
  <si>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</si>
  <si>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</si>
  <si>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</si>
  <si>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</si>
  <si>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</si>
  <si>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</si>
  <si>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</si>
  <si>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</si>
  <si>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</si>
  <si>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</si>
  <si>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</si>
  <si>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</si>
  <si>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</si>
  <si>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</si>
  <si>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</si>
  <si>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</si>
  <si>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</si>
  <si>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</si>
  <si>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</si>
  <si>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</si>
  <si>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</si>
  <si>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</si>
  <si>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</si>
  <si>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</si>
  <si>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</si>
  <si>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</si>
  <si>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</si>
  <si>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</si>
  <si>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</si>
  <si>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</si>
  <si>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</si>
  <si>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</si>
  <si>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</si>
  <si>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</si>
  <si>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</si>
  <si>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</si>
  <si>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</si>
  <si>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</si>
  <si>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</si>
  <si>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</si>
  <si>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</si>
  <si>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</si>
  <si>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</si>
  <si>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</si>
  <si>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</si>
  <si>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</si>
  <si>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</si>
  <si>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</si>
  <si>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</si>
  <si>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</si>
  <si>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</si>
  <si>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</si>
  <si>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</si>
  <si>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</si>
  <si>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</si>
  <si>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</si>
  <si>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</si>
  <si>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</si>
  <si>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</si>
  <si>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</si>
  <si>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</si>
  <si>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</si>
  <si>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</si>
  <si>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</si>
  <si>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</si>
  <si>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</si>
  <si>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</si>
  <si>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</si>
  <si>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</si>
  <si>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</si>
  <si>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</si>
  <si>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</si>
  <si>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</si>
  <si>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</si>
  <si>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</si>
  <si>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</si>
  <si>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</si>
  <si>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</si>
  <si>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</si>
  <si>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</si>
  <si>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</si>
  <si>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</si>
  <si>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</si>
  <si>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</si>
  <si>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</si>
  <si>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</si>
  <si>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</si>
  <si>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</si>
  <si>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</si>
  <si>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</si>
  <si>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</si>
  <si>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</si>
  <si>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</si>
  <si>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</si>
  <si>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</si>
  <si>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</si>
  <si>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</si>
  <si>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</si>
  <si>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</si>
  <si>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</si>
  <si>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</si>
  <si>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</si>
  <si>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</si>
  <si>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</si>
  <si>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</si>
  <si>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</si>
  <si>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</si>
  <si>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</si>
  <si>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</si>
  <si>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</si>
  <si>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</si>
  <si>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</si>
  <si>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</si>
  <si>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</si>
  <si>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</si>
  <si>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</si>
  <si>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</si>
  <si>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</si>
  <si>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</si>
  <si>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</si>
  <si>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</si>
  <si>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</si>
  <si>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</si>
  <si>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</si>
  <si>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</si>
  <si>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</si>
  <si>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</si>
  <si>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</si>
  <si>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</si>
  <si>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</si>
  <si>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</si>
  <si>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</si>
  <si>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</si>
  <si>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</si>
  <si>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</si>
  <si>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</si>
  <si>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</si>
  <si>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</si>
  <si>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</si>
  <si>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</si>
  <si>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</si>
  <si>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</si>
  <si>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</si>
  <si>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</si>
  <si>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</si>
  <si>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</si>
  <si>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</si>
  <si>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</si>
  <si>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</si>
  <si>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</si>
  <si>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</si>
  <si>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</si>
  <si>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</si>
  <si>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</si>
  <si>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</si>
  <si>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</si>
  <si>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</si>
  <si>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</si>
  <si>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</si>
  <si>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</si>
  <si>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</si>
  <si>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</si>
  <si>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</si>
  <si>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</si>
  <si>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</si>
  <si>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</si>
  <si>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</si>
  <si>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</si>
  <si>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</si>
  <si>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</si>
  <si>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</si>
  <si>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</si>
  <si>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</si>
  <si>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</si>
  <si>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</si>
  <si>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</si>
  <si>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</si>
  <si>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</si>
  <si>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</si>
  <si>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</si>
  <si>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</si>
  <si>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</si>
  <si>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</si>
  <si>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</si>
  <si>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</si>
  <si>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</si>
  <si>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</si>
  <si>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</si>
  <si>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</si>
  <si>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</si>
  <si>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</si>
  <si>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</si>
  <si>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</si>
  <si>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</si>
  <si>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</si>
  <si>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</si>
  <si>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</si>
  <si>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</si>
  <si>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</si>
  <si>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</si>
  <si>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</si>
  <si>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</si>
  <si>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</si>
  <si>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</si>
  <si>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</si>
  <si>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</si>
  <si>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</si>
  <si>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</si>
  <si>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</si>
  <si>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</si>
  <si>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</si>
  <si>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</si>
  <si>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</si>
  <si>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</si>
  <si>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</si>
  <si>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</si>
  <si>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</si>
  <si>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</si>
  <si>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</si>
  <si>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</si>
  <si>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</si>
  <si>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</si>
  <si>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</si>
  <si>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</si>
  <si>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</si>
  <si>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</si>
  <si>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</si>
  <si>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</si>
  <si>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</si>
  <si>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</si>
  <si>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</si>
  <si>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</si>
  <si>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</si>
  <si>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</si>
  <si>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</si>
  <si>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</si>
  <si>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</si>
  <si>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</si>
  <si>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</si>
  <si>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</si>
  <si>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</si>
  <si>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</si>
  <si>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</si>
  <si>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</si>
  <si>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</si>
  <si>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</si>
  <si>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</si>
  <si>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</si>
  <si>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</si>
  <si>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</si>
  <si>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</si>
  <si>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</si>
  <si>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</si>
  <si>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</si>
  <si>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</si>
  <si>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</si>
  <si>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</si>
  <si>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</si>
  <si>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</si>
  <si>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</si>
  <si>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</si>
  <si>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</si>
  <si>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</si>
  <si>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</si>
  <si>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</si>
  <si>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</si>
  <si>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</si>
  <si>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</si>
  <si>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</si>
  <si>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</si>
  <si>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</si>
  <si>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</si>
  <si>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</si>
  <si>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</si>
  <si>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</si>
  <si>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</si>
  <si>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</si>
  <si>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</si>
  <si>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</si>
  <si>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</si>
  <si>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</si>
  <si>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</si>
  <si>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</si>
  <si>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</si>
  <si>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</si>
  <si>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</si>
  <si>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</si>
  <si>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</si>
  <si>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</si>
  <si>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</si>
  <si>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</si>
  <si>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</si>
  <si>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</si>
  <si>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</si>
  <si>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</si>
  <si>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</si>
  <si>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</si>
  <si>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</si>
  <si>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</si>
  <si>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</si>
  <si>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</si>
  <si>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</si>
  <si>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</si>
  <si>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</si>
  <si>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</si>
  <si>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</si>
  <si>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</si>
  <si>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</si>
  <si>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</si>
  <si>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</si>
  <si>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</si>
  <si>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</si>
  <si>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</si>
  <si>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</si>
  <si>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</si>
  <si>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</si>
  <si>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</si>
  <si>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</si>
  <si>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</si>
  <si>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</si>
  <si>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</si>
  <si>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</si>
  <si>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</si>
  <si>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</si>
  <si>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</si>
  <si>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</si>
  <si>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</si>
  <si>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</si>
  <si>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</si>
  <si>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</si>
  <si>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</si>
  <si>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</si>
  <si>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</si>
  <si>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</si>
  <si>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</si>
  <si>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</si>
  <si>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</si>
  <si>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</si>
  <si>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</si>
  <si>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</si>
  <si>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</si>
  <si>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</si>
  <si>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</si>
  <si>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</si>
  <si>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</si>
  <si>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</si>
  <si>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</si>
  <si>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</si>
  <si>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</si>
  <si>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</si>
  <si>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</si>
  <si>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</si>
  <si>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</si>
  <si>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</si>
  <si>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</si>
  <si>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</si>
  <si>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</si>
  <si>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</si>
  <si>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</si>
  <si>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</si>
  <si>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</si>
  <si>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</si>
  <si>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</si>
  <si>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</si>
  <si>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</si>
  <si>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</si>
  <si>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</si>
  <si>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</si>
  <si>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</si>
  <si>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</si>
  <si>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</si>
  <si>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</si>
  <si>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</si>
  <si>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</si>
  <si>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</si>
  <si>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</si>
  <si>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</si>
  <si>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</si>
  <si>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</si>
  <si>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</si>
  <si>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</si>
  <si>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</si>
  <si>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</si>
  <si>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</si>
  <si>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</si>
  <si>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</si>
  <si>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</si>
  <si>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</si>
  <si>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</si>
  <si>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</si>
  <si>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</si>
  <si>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</si>
  <si>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</si>
  <si>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</si>
  <si>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</si>
  <si>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</si>
  <si>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</si>
  <si>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</si>
  <si>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</si>
  <si>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</si>
  <si>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</si>
  <si>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</si>
  <si>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</si>
  <si>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</si>
  <si>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</si>
  <si>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</si>
  <si>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</si>
  <si>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</si>
  <si>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</si>
  <si>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</si>
  <si>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</si>
  <si>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</si>
  <si>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</si>
  <si>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</si>
  <si>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</si>
  <si>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</si>
  <si>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</si>
  <si>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</si>
  <si>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</si>
  <si>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</si>
  <si>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</si>
  <si>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</si>
  <si>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</si>
  <si>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</si>
  <si>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</si>
  <si>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</si>
  <si>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</si>
  <si>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</si>
  <si>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</si>
  <si>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</si>
  <si>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</si>
  <si>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</si>
  <si>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</si>
  <si>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</si>
  <si>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</si>
  <si>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</si>
  <si>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</si>
  <si>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</si>
  <si>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</si>
  <si>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</si>
  <si>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</si>
  <si>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</si>
  <si>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</si>
  <si>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</si>
  <si>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</si>
  <si>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</si>
  <si>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</si>
  <si>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</si>
  <si>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</si>
  <si>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</si>
  <si>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</si>
  <si>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</si>
  <si>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</si>
  <si>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</si>
  <si>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</si>
  <si>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</si>
  <si>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</si>
  <si>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</si>
  <si>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</si>
  <si>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</si>
  <si>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</si>
  <si>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</si>
  <si>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</si>
  <si>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</si>
  <si>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</si>
  <si>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</si>
  <si>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</si>
  <si>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</si>
  <si>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</si>
  <si>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</si>
  <si>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</si>
  <si>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</si>
  <si>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</si>
  <si>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</si>
  <si>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</si>
  <si>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</si>
  <si>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</si>
  <si>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</si>
  <si>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</si>
  <si>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</si>
  <si>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</si>
  <si>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</si>
  <si>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</si>
  <si>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</si>
  <si>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</si>
  <si>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</si>
  <si>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</si>
  <si>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</si>
  <si>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</si>
  <si>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</si>
  <si>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</si>
  <si>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</si>
  <si>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</si>
  <si>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</si>
  <si>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</si>
  <si>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</si>
  <si>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</si>
  <si>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</si>
  <si>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</si>
  <si>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</si>
  <si>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</si>
  <si>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</si>
  <si>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</si>
  <si>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</si>
  <si>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</si>
  <si>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</si>
  <si>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</si>
  <si>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</si>
  <si>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</si>
  <si>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</si>
  <si>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</si>
  <si>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</si>
  <si>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</si>
  <si>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</si>
  <si>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</si>
  <si>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</si>
  <si>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</si>
  <si>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</si>
  <si>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</si>
  <si>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</si>
  <si>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</si>
  <si>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</si>
  <si>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</si>
  <si>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</si>
  <si>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</si>
  <si>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</si>
  <si>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</si>
  <si>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</si>
  <si>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</si>
  <si>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</si>
  <si>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</si>
  <si>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</si>
  <si>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</si>
  <si>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</si>
  <si>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</si>
  <si>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</si>
  <si>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</si>
  <si>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</si>
  <si>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</si>
  <si>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</si>
  <si>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</si>
  <si>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</si>
  <si>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</si>
  <si>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</si>
  <si>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</si>
  <si>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</si>
  <si>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</si>
  <si>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</si>
  <si>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</si>
  <si>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</si>
  <si>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</si>
  <si>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</si>
  <si>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</si>
  <si>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</si>
  <si>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</si>
  <si>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</si>
  <si>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</si>
  <si>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</si>
  <si>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</si>
  <si>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</si>
  <si>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</si>
  <si>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</si>
  <si>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</si>
  <si>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</si>
  <si>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</si>
  <si>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</si>
  <si>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</si>
  <si>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</si>
  <si>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</si>
  <si>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</si>
  <si>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</si>
  <si>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</si>
  <si>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</si>
  <si>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</si>
  <si>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</si>
  <si>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</si>
  <si>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</si>
  <si>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</si>
  <si>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</si>
  <si>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</si>
  <si>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</si>
  <si>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</si>
  <si>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</si>
  <si>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</si>
  <si>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</si>
  <si>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</si>
  <si>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</si>
  <si>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</si>
  <si>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</si>
  <si>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</si>
  <si>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</si>
  <si>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</si>
  <si>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</si>
  <si>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</si>
  <si>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</si>
  <si>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</si>
  <si>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</si>
  <si>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</si>
  <si>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</si>
  <si>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</si>
  <si>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</si>
  <si>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</si>
  <si>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</si>
  <si>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</si>
  <si>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</si>
  <si>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</si>
  <si>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</si>
  <si>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</si>
  <si>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</si>
  <si>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</si>
  <si>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</si>
  <si>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</si>
  <si>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</si>
  <si>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</si>
  <si>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</si>
  <si>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</si>
  <si>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</si>
  <si>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</si>
  <si>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</si>
  <si>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</si>
  <si>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</si>
  <si>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</si>
  <si>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</si>
  <si>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</si>
  <si>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</si>
  <si>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</si>
  <si>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</si>
  <si>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</si>
  <si>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</si>
  <si>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</si>
  <si>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</si>
  <si>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</si>
  <si>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</si>
  <si>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</si>
  <si>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</si>
  <si>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</si>
  <si>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</si>
  <si>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</si>
  <si>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</si>
  <si>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</si>
  <si>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</si>
  <si>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</si>
  <si>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</si>
  <si>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</si>
  <si>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</si>
  <si>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</si>
  <si>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</si>
  <si>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</si>
  <si>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</si>
  <si>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</si>
  <si>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</si>
  <si>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</si>
  <si>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</si>
  <si>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</si>
  <si>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</si>
  <si>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</si>
  <si>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</si>
  <si>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</si>
  <si>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</si>
  <si>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</si>
  <si>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</si>
  <si>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</si>
  <si>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</si>
  <si>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</si>
  <si>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</si>
  <si>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</si>
  <si>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</si>
  <si>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</si>
  <si>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</si>
  <si>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</si>
  <si>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</si>
  <si>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</si>
  <si>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</si>
  <si>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</si>
  <si>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</si>
  <si>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</si>
  <si>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</si>
  <si>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</si>
  <si>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</si>
  <si>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</si>
  <si>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</si>
  <si>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</si>
  <si>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</si>
  <si>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</si>
  <si>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</si>
  <si>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</si>
  <si>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</si>
  <si>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</si>
  <si>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</si>
  <si>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</si>
  <si>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</si>
  <si>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</si>
  <si>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</si>
  <si>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</si>
  <si>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</si>
  <si>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</si>
  <si>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</si>
  <si>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</si>
  <si>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</si>
  <si>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</si>
  <si>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</si>
  <si>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</si>
  <si>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</si>
  <si>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</si>
  <si>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</si>
  <si>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</si>
  <si>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</si>
  <si>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</si>
  <si>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</si>
  <si>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</si>
  <si>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</si>
  <si>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</si>
  <si>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</si>
  <si>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</si>
  <si>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</si>
  <si>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</si>
  <si>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</si>
  <si>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</si>
  <si>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</si>
  <si>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</si>
  <si>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</si>
  <si>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</si>
  <si>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</si>
  <si>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</si>
  <si>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</si>
  <si>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</si>
  <si>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</si>
  <si>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</si>
  <si>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</si>
  <si>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</si>
  <si>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</si>
  <si>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</si>
  <si>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</si>
  <si>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</si>
  <si>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</si>
  <si>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</si>
  <si>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</si>
  <si>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</si>
  <si>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</si>
  <si>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</si>
  <si>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</si>
  <si>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</si>
  <si>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</si>
  <si>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</si>
  <si>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</si>
  <si>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</si>
  <si>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</si>
  <si>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</si>
  <si>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</si>
  <si>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</si>
  <si>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</si>
  <si>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</si>
  <si>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</si>
  <si>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</si>
  <si>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</si>
  <si>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</si>
  <si>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</si>
  <si>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</si>
  <si>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</si>
  <si>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</si>
  <si>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</si>
  <si>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</si>
  <si>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</si>
  <si>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</si>
  <si>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</si>
  <si>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</si>
  <si>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</si>
  <si>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</si>
  <si>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</si>
  <si>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</si>
  <si>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</si>
  <si>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</si>
  <si>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</si>
  <si>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</si>
  <si>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</si>
  <si>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</si>
  <si>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</si>
  <si>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</si>
  <si>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</si>
  <si>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</si>
  <si>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</si>
  <si>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</si>
  <si>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</si>
  <si>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</si>
  <si>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</si>
  <si>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</si>
  <si>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</si>
  <si>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</si>
  <si>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</si>
  <si>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</si>
  <si>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</si>
  <si>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</si>
  <si>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</si>
  <si>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</si>
  <si>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</si>
  <si>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</si>
  <si>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</si>
  <si>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</si>
  <si>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</si>
  <si>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</si>
  <si>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</si>
  <si>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</si>
  <si>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</si>
  <si>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</si>
  <si>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</si>
  <si>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</si>
  <si>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</si>
  <si>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</si>
  <si>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</si>
  <si>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</si>
  <si>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</si>
  <si>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</si>
  <si>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</si>
  <si>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</si>
  <si>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</si>
  <si>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</si>
  <si>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</si>
  <si>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</si>
  <si>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</si>
  <si>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</si>
  <si>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</si>
  <si>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</si>
  <si>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</si>
  <si>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</si>
  <si>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</si>
  <si>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</si>
  <si>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</si>
  <si>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</si>
  <si>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</si>
  <si>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</si>
  <si>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</si>
  <si>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</si>
  <si>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</si>
  <si>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</si>
  <si>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</si>
  <si>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</si>
  <si>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</si>
  <si>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</si>
  <si>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</si>
  <si>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</si>
  <si>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</si>
  <si>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</si>
  <si>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</si>
  <si>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</si>
  <si>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</si>
  <si>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</si>
  <si>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</si>
  <si>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</si>
  <si>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</si>
  <si>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</si>
  <si>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</si>
  <si>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</si>
  <si>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</si>
  <si>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</si>
  <si>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</si>
  <si>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</si>
  <si>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</si>
  <si>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</si>
  <si>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</si>
  <si>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</si>
  <si>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</si>
  <si>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</si>
  <si>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</si>
  <si>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</si>
  <si>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</si>
  <si>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</si>
  <si>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</si>
  <si>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</si>
  <si>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</si>
  <si>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</si>
  <si>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</si>
  <si>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</si>
  <si>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</si>
  <si>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</si>
  <si>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</si>
  <si>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</si>
  <si>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</si>
  <si>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</si>
  <si>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</si>
  <si>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</si>
  <si>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</si>
  <si>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</si>
  <si>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</si>
  <si>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</si>
  <si>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</si>
  <si>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</si>
  <si>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</si>
  <si>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</si>
  <si>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</si>
  <si>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</si>
  <si>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</si>
  <si>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</si>
  <si>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</si>
  <si>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</si>
  <si>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</si>
  <si>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</si>
  <si>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</si>
  <si>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</si>
  <si>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</si>
  <si>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</si>
  <si>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</si>
  <si>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</si>
  <si>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</si>
  <si>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</si>
  <si>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</si>
  <si>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</si>
  <si>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</si>
  <si>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</si>
  <si>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</si>
  <si>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</si>
  <si>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</si>
  <si>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</si>
  <si>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</si>
  <si>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</si>
  <si>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</si>
  <si>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</si>
  <si>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</si>
  <si>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</si>
  <si>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</si>
  <si>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</si>
  <si>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</si>
  <si>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</si>
  <si>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</si>
  <si>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</si>
  <si>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</si>
  <si>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</si>
  <si>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</si>
  <si>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</si>
  <si>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</si>
  <si>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</si>
  <si>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</si>
  <si>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</si>
  <si>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</si>
  <si>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</si>
  <si>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</si>
  <si>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</si>
  <si>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</si>
  <si>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</si>
  <si>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</si>
  <si>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</si>
  <si>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</si>
  <si>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</si>
  <si>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</si>
  <si>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</si>
  <si>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</si>
  <si>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</si>
  <si>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</si>
  <si>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</si>
  <si>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</si>
  <si>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</si>
  <si>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</si>
  <si>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</si>
  <si>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</si>
  <si>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</si>
  <si>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</si>
  <si>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</si>
  <si>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</si>
  <si>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</si>
  <si>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</si>
  <si>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</si>
  <si>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</si>
  <si>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</si>
  <si>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</si>
  <si>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</si>
  <si>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</si>
  <si>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</si>
  <si>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</si>
  <si>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</si>
  <si>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</si>
  <si>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</si>
  <si>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</si>
  <si>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</si>
  <si>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</si>
  <si>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</si>
  <si>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</si>
  <si>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</si>
  <si>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</si>
  <si>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</si>
  <si>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</si>
  <si>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</si>
  <si>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</si>
  <si>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</si>
  <si>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</si>
  <si>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</si>
  <si>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</si>
  <si>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</si>
  <si>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</si>
  <si>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</si>
  <si>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</si>
  <si>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</si>
  <si>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</si>
  <si>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</si>
  <si>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</si>
  <si>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</si>
  <si>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</si>
  <si>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</si>
  <si>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</si>
  <si>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</si>
  <si>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</si>
  <si>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</si>
  <si>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</si>
  <si>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</si>
  <si>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</si>
  <si>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</si>
  <si>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</si>
  <si>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</si>
  <si>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</si>
  <si>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</si>
  <si>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</si>
  <si>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</si>
  <si>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</si>
  <si>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</si>
  <si>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</si>
  <si>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</si>
  <si>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</si>
  <si>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</si>
  <si>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</si>
  <si>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</si>
  <si>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</si>
  <si>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</si>
  <si>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</si>
  <si>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</si>
  <si>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</si>
  <si>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</si>
  <si>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</si>
  <si>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</si>
  <si>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</si>
  <si>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</si>
  <si>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</si>
  <si>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</si>
  <si>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</si>
  <si>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</si>
  <si>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</si>
  <si>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</si>
  <si>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</si>
  <si>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</si>
  <si>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</si>
  <si>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</si>
  <si>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</si>
  <si>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</si>
  <si>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</si>
  <si>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</si>
  <si>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</si>
  <si>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</si>
  <si>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</si>
  <si>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</si>
  <si>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</si>
  <si>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</si>
  <si>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</si>
  <si>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</si>
  <si>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</si>
  <si>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</si>
  <si>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</si>
  <si>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</si>
  <si>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</si>
  <si>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</si>
  <si>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</si>
  <si>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</si>
  <si>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</si>
  <si>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</si>
  <si>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</si>
  <si>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</si>
  <si>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</si>
  <si>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</si>
  <si>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</si>
  <si>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</si>
  <si>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</si>
  <si>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</si>
  <si>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</si>
  <si>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</si>
  <si>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</si>
  <si>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</si>
  <si>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</si>
  <si>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</si>
  <si>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</si>
  <si>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</si>
  <si>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</si>
  <si>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</si>
  <si>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</si>
  <si>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</si>
  <si>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</si>
  <si>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</si>
  <si>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</si>
  <si>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</si>
  <si>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</si>
  <si>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</si>
  <si>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</si>
  <si>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</si>
  <si>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</si>
  <si>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</si>
  <si>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</si>
  <si>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</si>
  <si>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</si>
  <si>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</si>
  <si>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</si>
  <si>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</si>
  <si>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</si>
  <si>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</si>
  <si>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</si>
  <si>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</si>
  <si>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</si>
  <si>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</si>
  <si>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</si>
  <si>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</si>
  <si>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</si>
  <si>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</si>
  <si>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</si>
  <si>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</si>
  <si>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</si>
  <si>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</si>
  <si>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</si>
  <si>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</si>
  <si>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</si>
  <si>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</si>
  <si>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</si>
  <si>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</si>
  <si>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</si>
  <si>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</si>
  <si>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</si>
  <si>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</si>
  <si>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</si>
  <si>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</si>
  <si>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</si>
  <si>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</si>
  <si>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</si>
  <si>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</si>
  <si>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</si>
  <si>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</si>
  <si>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</si>
  <si>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</si>
  <si>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</si>
  <si>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</si>
  <si>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</si>
  <si>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</si>
  <si>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</si>
  <si>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</si>
  <si>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</si>
  <si>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</si>
  <si>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</si>
  <si>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</si>
  <si>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</si>
  <si>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</si>
  <si>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</si>
  <si>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</si>
  <si>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</si>
  <si>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</si>
  <si>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</si>
  <si>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</si>
  <si>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</si>
  <si>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</si>
  <si>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</si>
  <si>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</si>
  <si>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</si>
  <si>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</si>
  <si>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</si>
  <si>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</si>
  <si>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</si>
  <si>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</si>
  <si>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</si>
  <si>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</si>
  <si>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</si>
  <si>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</si>
  <si>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</si>
  <si>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</si>
  <si>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</si>
  <si>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</si>
  <si>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</si>
  <si>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</si>
  <si>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</si>
  <si>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</si>
  <si>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</si>
  <si>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</si>
  <si>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</si>
  <si>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</si>
  <si>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</si>
  <si>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</si>
  <si>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</si>
  <si>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</si>
  <si>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</si>
  <si>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</si>
  <si>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</si>
  <si>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</si>
  <si>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</si>
  <si>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</si>
  <si>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</si>
  <si>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</si>
  <si>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</si>
  <si>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</si>
  <si>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</si>
  <si>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</si>
  <si>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</si>
  <si>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</si>
  <si>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</si>
  <si>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</si>
  <si>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</si>
  <si>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</si>
  <si>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</si>
  <si>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</si>
  <si>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</si>
  <si>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</si>
  <si>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</si>
  <si>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</si>
  <si>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</si>
  <si>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</si>
  <si>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</si>
  <si>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</si>
  <si>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</si>
  <si>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</si>
  <si>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</si>
  <si>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</si>
  <si>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</si>
  <si>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</si>
  <si>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</si>
  <si>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</si>
  <si>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</si>
  <si>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</si>
  <si>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</si>
  <si>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</si>
  <si>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</si>
  <si>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</si>
  <si>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</si>
  <si>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</si>
  <si>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</si>
  <si>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</si>
  <si>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</si>
  <si>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</si>
  <si>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</si>
  <si>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</si>
  <si>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</si>
  <si>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</si>
  <si>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</si>
  <si>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</si>
  <si>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</si>
  <si>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</si>
  <si>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</si>
  <si>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</si>
  <si>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</si>
  <si>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</si>
  <si>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</si>
  <si>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</si>
  <si>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</si>
  <si>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</si>
  <si>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</si>
  <si>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</si>
  <si>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</si>
  <si>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</si>
  <si>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</si>
  <si>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</si>
  <si>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</si>
  <si>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</si>
  <si>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</si>
  <si>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</si>
  <si>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</si>
  <si>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</si>
  <si>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</si>
  <si>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</si>
  <si>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</si>
  <si>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</si>
  <si>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</si>
  <si>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</si>
  <si>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</si>
  <si>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</si>
  <si>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</si>
  <si>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</si>
  <si>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</si>
  <si>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</si>
  <si>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</si>
  <si>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</si>
  <si>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</si>
  <si>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</si>
  <si>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</si>
  <si>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</si>
  <si>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</si>
  <si>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</si>
  <si>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</si>
  <si>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</si>
  <si>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</si>
  <si>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</si>
  <si>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</si>
  <si>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</si>
  <si>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</si>
  <si>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</si>
  <si>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</si>
  <si>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</si>
  <si>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</si>
  <si>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</si>
  <si>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</si>
  <si>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</si>
  <si>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</si>
  <si>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</si>
  <si>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</si>
  <si>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</si>
  <si>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</si>
  <si>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</si>
  <si>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</si>
  <si>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</si>
  <si>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</si>
  <si>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</si>
  <si>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</si>
  <si>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</si>
  <si>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</si>
  <si>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</si>
  <si>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</si>
  <si>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</si>
  <si>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</si>
  <si>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</si>
  <si>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</si>
  <si>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</si>
  <si>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</si>
  <si>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</si>
  <si>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</si>
  <si>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</si>
  <si>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</si>
  <si>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</si>
  <si>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</si>
  <si>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</si>
  <si>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</si>
  <si>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</si>
  <si>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</si>
  <si>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</si>
  <si>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</si>
  <si>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</si>
  <si>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</si>
  <si>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</si>
  <si>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</si>
  <si>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</si>
  <si>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</si>
  <si>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</si>
  <si>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</si>
  <si>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</si>
  <si>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</si>
  <si>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</si>
  <si>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</si>
  <si>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</si>
  <si>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</si>
  <si>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</si>
  <si>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</si>
  <si>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</si>
  <si>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</si>
  <si>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</si>
  <si>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</si>
  <si>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</si>
  <si>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</si>
  <si>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</si>
  <si>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</si>
  <si>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</si>
  <si>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</si>
  <si>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</si>
  <si>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</si>
  <si>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</si>
  <si>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</si>
  <si>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</si>
  <si>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</si>
  <si>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</si>
  <si>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</si>
  <si>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</si>
  <si>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</si>
  <si>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</si>
  <si>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</si>
  <si>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</si>
  <si>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</si>
  <si>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</si>
  <si>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</si>
  <si>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</si>
  <si>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</si>
  <si>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</si>
  <si>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</si>
  <si>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</si>
  <si>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</si>
  <si>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</si>
  <si>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</si>
  <si>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</si>
  <si>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</si>
  <si>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</si>
  <si>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</si>
  <si>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</si>
  <si>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</si>
  <si>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</si>
  <si>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</si>
  <si>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</si>
  <si>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</si>
  <si>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</si>
  <si>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</si>
  <si>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</si>
  <si>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</si>
  <si>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</si>
  <si>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</si>
  <si>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</si>
  <si>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</si>
  <si>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</si>
  <si>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</si>
  <si>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</si>
  <si>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</si>
  <si>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</si>
  <si>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</si>
  <si>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</si>
  <si>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</si>
  <si>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</si>
  <si>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</si>
  <si>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</si>
  <si>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</si>
  <si>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</si>
  <si>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</si>
  <si>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</si>
  <si>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</si>
  <si>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</si>
  <si>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</si>
  <si>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</si>
  <si>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</si>
  <si>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</si>
  <si>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</si>
  <si>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</si>
  <si>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</si>
  <si>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</si>
  <si>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</si>
  <si>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</si>
  <si>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</si>
  <si>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</si>
  <si>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</si>
  <si>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</si>
  <si>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</si>
  <si>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</si>
  <si>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</si>
  <si>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</si>
  <si>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</si>
  <si>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</si>
  <si>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</si>
  <si>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</si>
  <si>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</si>
  <si>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</si>
  <si>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</si>
  <si>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</si>
  <si>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</si>
  <si>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</si>
  <si>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</si>
  <si>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</si>
  <si>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</si>
  <si>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</si>
  <si>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</si>
  <si>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</si>
  <si>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</si>
  <si>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</si>
  <si>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</si>
  <si>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</si>
  <si>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</si>
  <si>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</si>
  <si>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</si>
  <si>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</si>
  <si>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</si>
  <si>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</si>
  <si>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</si>
  <si>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</si>
  <si>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</si>
  <si>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</si>
  <si>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</si>
  <si>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</si>
  <si>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</si>
  <si>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</si>
  <si>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</si>
  <si>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</si>
  <si>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</si>
  <si>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</si>
  <si>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</si>
  <si>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</si>
  <si>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</si>
  <si>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</si>
  <si>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</si>
  <si>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</si>
  <si>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</si>
  <si>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</si>
  <si>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</si>
  <si>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</si>
  <si>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</si>
  <si>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</si>
  <si>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</si>
  <si>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</si>
  <si>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</si>
  <si>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</si>
  <si>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</si>
  <si>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</si>
  <si>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</si>
  <si>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</si>
  <si>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</si>
  <si>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</si>
  <si>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</si>
  <si>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</si>
  <si>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</si>
  <si>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</si>
  <si>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</si>
  <si>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</si>
  <si>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</si>
  <si>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</si>
  <si>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</si>
  <si>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</si>
  <si>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</si>
  <si>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</si>
  <si>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</si>
  <si>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</si>
  <si>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</si>
  <si>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</si>
  <si>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</si>
  <si>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</si>
  <si>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</si>
  <si>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</si>
  <si>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</si>
  <si>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</si>
  <si>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</si>
  <si>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</si>
  <si>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</si>
  <si>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</si>
  <si>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</si>
  <si>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</si>
  <si>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</si>
  <si>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</si>
  <si>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</si>
  <si>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</si>
  <si>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</si>
  <si>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</si>
  <si>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</si>
  <si>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</si>
  <si>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</si>
  <si>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</si>
  <si>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</si>
  <si>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</si>
  <si>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</si>
  <si>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</si>
  <si>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</si>
  <si>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</si>
  <si>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</si>
  <si>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</si>
  <si>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</si>
  <si>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</si>
  <si>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</si>
  <si>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</si>
  <si>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</si>
  <si>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</si>
  <si>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</si>
  <si>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</si>
  <si>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</si>
  <si>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</si>
  <si>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</si>
  <si>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</si>
  <si>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</si>
  <si>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</si>
  <si>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</si>
  <si>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</si>
  <si>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</si>
  <si>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</si>
  <si>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</si>
  <si>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</si>
  <si>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</si>
  <si>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</si>
  <si>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</si>
  <si>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</si>
  <si>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</si>
  <si>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</si>
  <si>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</si>
  <si>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</si>
  <si>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</si>
  <si>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</si>
  <si>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</si>
  <si>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</si>
  <si>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</si>
  <si>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</si>
  <si>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</si>
  <si>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</si>
  <si>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</si>
  <si>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</si>
  <si>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</si>
  <si>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</si>
  <si>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</si>
  <si>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</si>
  <si>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</si>
  <si>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</si>
  <si>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</si>
  <si>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</si>
  <si>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</si>
  <si>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</si>
  <si>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</si>
  <si>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</si>
  <si>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</si>
  <si>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</si>
  <si>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</si>
  <si>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</si>
  <si>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</si>
  <si>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</si>
  <si>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</si>
  <si>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</si>
  <si>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</si>
  <si>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</si>
  <si>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</si>
  <si>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</si>
  <si>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</si>
  <si>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</si>
  <si>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</si>
  <si>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</si>
  <si>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</si>
  <si>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</si>
  <si>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</si>
  <si>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</si>
  <si>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</si>
  <si>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</si>
  <si>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</si>
  <si>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</si>
  <si>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</si>
  <si>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</si>
  <si>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</si>
  <si>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</si>
  <si>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</si>
  <si>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</si>
  <si>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</si>
  <si>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</si>
  <si>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</si>
  <si>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</si>
  <si>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</si>
  <si>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</si>
  <si>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</si>
  <si>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</si>
  <si>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</si>
  <si>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</si>
  <si>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</si>
  <si>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</si>
  <si>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</si>
  <si>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</si>
  <si>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</si>
  <si>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</si>
  <si>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</si>
  <si>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</si>
  <si>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</si>
  <si>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</si>
  <si>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</si>
  <si>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</si>
  <si>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</si>
  <si>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</si>
  <si>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</si>
  <si>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</si>
  <si>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</si>
  <si>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</si>
  <si>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</si>
  <si>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</si>
  <si>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</si>
  <si>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</si>
  <si>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</si>
  <si>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</si>
  <si>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</si>
  <si>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</si>
  <si>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</si>
  <si>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</si>
  <si>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</si>
  <si>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</si>
  <si>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</si>
  <si>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</si>
  <si>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</si>
  <si>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</si>
  <si>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</si>
  <si>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</si>
  <si>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</si>
  <si>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</si>
  <si>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</si>
  <si>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</si>
  <si>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</si>
  <si>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</si>
  <si>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</si>
  <si>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</si>
  <si>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</si>
  <si>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</si>
  <si>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</si>
  <si>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</si>
  <si>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</si>
  <si>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</si>
  <si>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</si>
  <si>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</si>
  <si>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</si>
  <si>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</si>
  <si>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</si>
  <si>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</si>
  <si>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</si>
  <si>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</si>
  <si>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</si>
  <si>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</si>
  <si>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</si>
  <si>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</si>
  <si>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</si>
  <si>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</si>
  <si>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</si>
  <si>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</si>
  <si>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</si>
  <si>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</si>
  <si>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</si>
  <si>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</si>
  <si>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</si>
  <si>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</si>
  <si>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</si>
  <si>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</si>
  <si>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</si>
  <si>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</si>
  <si>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</si>
  <si>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</si>
  <si>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</si>
  <si>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</si>
  <si>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</si>
  <si>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</si>
  <si>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</si>
  <si>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</si>
  <si>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</si>
  <si>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</si>
  <si>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</si>
  <si>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</si>
  <si>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</si>
  <si>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</si>
  <si>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</si>
  <si>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</si>
  <si>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</si>
  <si>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</si>
  <si>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</si>
  <si>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</si>
  <si>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</si>
  <si>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</si>
  <si>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</si>
  <si>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</si>
  <si>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</si>
  <si>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</si>
  <si>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</si>
  <si>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</si>
  <si>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</si>
  <si>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</si>
  <si>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</si>
  <si>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</si>
  <si>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</si>
  <si>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</si>
  <si>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</si>
  <si>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</si>
  <si>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</si>
  <si>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</si>
  <si>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</si>
  <si>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</si>
  <si>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</si>
  <si>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</si>
  <si>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</si>
  <si>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</si>
  <si>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</si>
  <si>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</si>
  <si>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</si>
  <si>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</si>
  <si>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</si>
  <si>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</si>
  <si>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</si>
  <si>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</si>
  <si>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</si>
  <si>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</si>
  <si>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</si>
  <si>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</si>
  <si>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</si>
  <si>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</si>
  <si>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</si>
  <si>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</si>
  <si>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</si>
  <si>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</si>
  <si>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</si>
  <si>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</si>
  <si>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</si>
  <si>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</si>
  <si>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</si>
  <si>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</si>
  <si>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</si>
  <si>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</si>
  <si>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</si>
  <si>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</si>
  <si>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</si>
  <si>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</si>
  <si>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</si>
  <si>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</si>
  <si>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</si>
  <si>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</si>
  <si>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</si>
  <si>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</si>
  <si>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</si>
  <si>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</si>
  <si>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</si>
  <si>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</si>
  <si>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</si>
  <si>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</si>
  <si>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</si>
  <si>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</si>
  <si>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</si>
  <si>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</si>
  <si>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</si>
  <si>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</si>
  <si>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</si>
  <si>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</si>
  <si>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</si>
  <si>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</si>
  <si>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</si>
  <si>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</si>
  <si>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</si>
  <si>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</si>
  <si>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</si>
  <si>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</si>
  <si>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</si>
  <si>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</si>
  <si>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</si>
  <si>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</si>
  <si>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</si>
  <si>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</si>
  <si>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</si>
  <si>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</si>
  <si>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</si>
  <si>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</si>
  <si>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</si>
  <si>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</si>
  <si>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</si>
  <si>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</si>
  <si>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</si>
  <si>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</si>
  <si>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</si>
  <si>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</si>
  <si>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</si>
  <si>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</si>
  <si>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</si>
  <si>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</si>
  <si>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</si>
  <si>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</si>
  <si>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</si>
  <si>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</si>
  <si>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</si>
  <si>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</si>
  <si>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</si>
  <si>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</si>
  <si>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</si>
  <si>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</si>
  <si>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</si>
  <si>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</si>
  <si>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</si>
  <si>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</si>
  <si>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</si>
  <si>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</si>
  <si>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</si>
  <si>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</si>
  <si>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</si>
  <si>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</si>
  <si>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</si>
  <si>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</si>
  <si>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</si>
  <si>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</si>
  <si>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</si>
  <si>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</si>
  <si>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</si>
  <si>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</si>
  <si>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</si>
  <si>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</si>
  <si>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</si>
  <si>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</si>
  <si>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</si>
  <si>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</si>
  <si>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</si>
  <si>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</si>
  <si>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</si>
  <si>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</si>
  <si>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</si>
  <si>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</si>
  <si>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</si>
  <si>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</si>
  <si>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</si>
  <si>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</si>
  <si>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</si>
  <si>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</si>
  <si>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</si>
  <si>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</si>
  <si>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</si>
  <si>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</si>
  <si>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</si>
  <si>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</si>
  <si>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</si>
  <si>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</si>
  <si>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</si>
  <si>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</si>
  <si>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</si>
  <si>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</si>
  <si>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</si>
  <si>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</si>
  <si>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</si>
  <si>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</si>
  <si>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</si>
  <si>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</si>
  <si>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</si>
  <si>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</si>
  <si>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</si>
  <si>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</si>
  <si>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</si>
  <si>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</si>
  <si>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</si>
  <si>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</si>
  <si>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</si>
  <si>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</si>
  <si>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</si>
  <si>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</si>
  <si>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</si>
  <si>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</si>
  <si>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</si>
  <si>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</si>
  <si>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</si>
  <si>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</si>
  <si>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</si>
  <si>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</si>
  <si>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</si>
  <si>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</si>
  <si>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</si>
  <si>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</si>
  <si>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</si>
  <si>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</si>
  <si>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</si>
  <si>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</si>
  <si>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</si>
  <si>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</si>
  <si>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</si>
  <si>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</si>
  <si>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</si>
  <si>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</si>
  <si>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</si>
  <si>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</si>
  <si>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</si>
  <si>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</si>
  <si>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</si>
  <si>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</si>
  <si>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</si>
  <si>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</si>
  <si>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</si>
  <si>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</si>
  <si>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</si>
  <si>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</si>
  <si>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</si>
  <si>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</si>
  <si>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</si>
  <si>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</si>
  <si>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</si>
  <si>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</si>
  <si>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</si>
  <si>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</si>
  <si>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</si>
  <si>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</si>
  <si>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</si>
  <si>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</si>
  <si>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</si>
  <si>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</si>
  <si>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</si>
  <si>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</si>
  <si>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</si>
  <si>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</si>
  <si>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</si>
  <si>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</si>
  <si>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</si>
  <si>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</si>
  <si>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</si>
  <si>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</si>
  <si>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</si>
  <si>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</si>
  <si>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</si>
  <si>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</si>
  <si>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</si>
  <si>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</si>
  <si>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</si>
  <si>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</si>
  <si>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</si>
  <si>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</si>
  <si>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</si>
  <si>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</si>
  <si>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</si>
  <si>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</si>
  <si>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</si>
  <si>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</si>
  <si>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</si>
  <si>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</si>
  <si>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</si>
  <si>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</si>
  <si>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</si>
  <si>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</si>
  <si>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</si>
  <si>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</si>
  <si>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</si>
  <si>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</si>
  <si>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</si>
  <si>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</si>
  <si>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</si>
  <si>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</si>
  <si>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</si>
  <si>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</si>
  <si>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</si>
  <si>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</si>
  <si>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</si>
  <si>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</si>
  <si>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</si>
  <si>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</si>
  <si>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</si>
  <si>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</si>
  <si>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</si>
  <si>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</si>
  <si>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</si>
  <si>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</si>
  <si>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</si>
  <si>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</si>
  <si>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</si>
  <si>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</si>
  <si>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</si>
  <si>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</si>
  <si>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</si>
  <si>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</si>
  <si>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</si>
  <si>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</si>
  <si>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</si>
  <si>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</si>
  <si>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</si>
  <si>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</si>
  <si>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</si>
  <si>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</si>
  <si>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</si>
  <si>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</si>
  <si>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</si>
  <si>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</si>
  <si>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</si>
  <si>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</si>
  <si>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</si>
  <si>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</si>
  <si>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</si>
  <si>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</si>
  <si>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</si>
  <si>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</si>
  <si>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</si>
  <si>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</si>
  <si>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</si>
  <si>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</si>
  <si>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</si>
  <si>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</si>
  <si>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</si>
  <si>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</si>
  <si>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</si>
  <si>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</si>
  <si>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</si>
  <si>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</si>
  <si>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</si>
  <si>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</si>
  <si>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</si>
  <si>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</si>
  <si>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</si>
  <si>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</si>
  <si>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</si>
  <si>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</si>
  <si>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</si>
  <si>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</si>
  <si>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</si>
  <si>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</si>
  <si>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</si>
  <si>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</si>
  <si>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</si>
  <si>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</si>
  <si>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</si>
  <si>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</si>
  <si>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</si>
  <si>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</si>
  <si>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</si>
  <si>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</si>
  <si>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</si>
  <si>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</si>
  <si>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</si>
  <si>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</si>
  <si>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</si>
  <si>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</si>
  <si>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</si>
  <si>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</si>
  <si>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</si>
  <si>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</si>
  <si>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</si>
  <si>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</si>
  <si>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</si>
  <si>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</si>
  <si>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</si>
  <si>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</si>
  <si>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</si>
  <si>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</si>
  <si>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</si>
  <si>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</si>
  <si>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</si>
  <si>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</si>
  <si>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</si>
  <si>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</si>
  <si>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</si>
  <si>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</si>
  <si>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</si>
  <si>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</si>
  <si>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</si>
  <si>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</si>
  <si>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</si>
  <si>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</si>
  <si>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</si>
  <si>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</si>
  <si>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</si>
  <si>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</si>
  <si>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</si>
  <si>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</si>
  <si>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</si>
  <si>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</si>
  <si>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</si>
  <si>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</si>
  <si>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</si>
  <si>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</si>
  <si>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</si>
  <si>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</si>
  <si>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</si>
  <si>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</si>
  <si>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</si>
  <si>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</si>
  <si>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</si>
  <si>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</si>
  <si>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</si>
  <si>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</si>
  <si>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</si>
  <si>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</si>
  <si>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</si>
  <si>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</si>
  <si>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</si>
  <si>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</si>
  <si>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</si>
  <si>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</si>
  <si>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</si>
  <si>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</si>
  <si>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</si>
  <si>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</si>
  <si>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</si>
  <si>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</si>
  <si>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</si>
  <si>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</si>
  <si>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</si>
  <si>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</si>
  <si>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</si>
  <si>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</si>
  <si>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</si>
  <si>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</si>
  <si>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</si>
  <si>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</si>
  <si>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</si>
  <si>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</si>
  <si>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</si>
  <si>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</si>
  <si>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</si>
  <si>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</si>
  <si>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</si>
  <si>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</si>
  <si>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</si>
  <si>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</si>
  <si>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</si>
  <si>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</si>
  <si>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</si>
  <si>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</si>
  <si>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</si>
  <si>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</si>
  <si>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</si>
  <si>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</si>
  <si>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</si>
  <si>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</si>
  <si>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</si>
  <si>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</si>
  <si>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</si>
  <si>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</si>
  <si>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</si>
  <si>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</si>
  <si>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</si>
  <si>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</si>
  <si>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</si>
  <si>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</si>
  <si>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</si>
  <si>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</si>
  <si>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</si>
  <si>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</si>
  <si>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</si>
  <si>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</si>
  <si>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</si>
  <si>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</si>
  <si>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</si>
  <si>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</si>
  <si>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</si>
  <si>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</si>
  <si>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</si>
  <si>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</si>
  <si>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</si>
  <si>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</si>
  <si>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</si>
  <si>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</si>
  <si>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</si>
  <si>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</si>
  <si>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</si>
  <si>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</si>
  <si>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</si>
  <si>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</si>
  <si>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</si>
  <si>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</si>
  <si>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</si>
  <si>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</si>
  <si>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</si>
  <si>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</si>
  <si>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</si>
  <si>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</si>
  <si>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</si>
  <si>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</si>
  <si>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</si>
  <si>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</si>
  <si>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</si>
  <si>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</si>
  <si>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</si>
  <si>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</si>
  <si>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</si>
  <si>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</si>
  <si>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</si>
  <si>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</si>
  <si>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</si>
  <si>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</si>
  <si>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</si>
  <si>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</si>
  <si>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</si>
  <si>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</si>
  <si>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</si>
  <si>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</si>
  <si>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</si>
  <si>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</si>
  <si>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</si>
  <si>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</si>
  <si>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</si>
  <si>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</si>
  <si>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</si>
  <si>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</si>
  <si>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</si>
  <si>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</si>
  <si>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</si>
  <si>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</si>
  <si>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</si>
  <si>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</si>
  <si>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</si>
  <si>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</si>
  <si>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</si>
  <si>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</si>
  <si>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</si>
  <si>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</si>
  <si>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</si>
  <si>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</si>
  <si>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</si>
  <si>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</si>
  <si>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</si>
  <si>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</si>
  <si>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</si>
  <si>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</si>
  <si>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</si>
  <si>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</si>
  <si>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</si>
  <si>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</si>
  <si>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</si>
  <si>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</si>
  <si>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</si>
  <si>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</si>
  <si>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</si>
  <si>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</si>
  <si>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</si>
  <si>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</si>
  <si>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</si>
  <si>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</si>
  <si>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</si>
  <si>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</si>
  <si>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</si>
  <si>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</si>
  <si>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</si>
  <si>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</si>
  <si>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</si>
  <si>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</si>
  <si>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</si>
  <si>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</si>
  <si>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</si>
  <si>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</si>
  <si>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</si>
  <si>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</si>
  <si>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</si>
  <si>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</si>
  <si>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</si>
  <si>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</si>
  <si>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</si>
  <si>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</si>
  <si>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</si>
  <si>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</si>
  <si>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</si>
  <si>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</si>
  <si>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</si>
  <si>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</si>
  <si>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</si>
  <si>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</si>
  <si>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</si>
  <si>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</si>
  <si>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</si>
  <si>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</si>
  <si>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</si>
  <si>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</si>
  <si>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</si>
  <si>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</si>
  <si>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</si>
  <si>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</si>
  <si>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</si>
  <si>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</si>
  <si>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</si>
  <si>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</si>
  <si>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</si>
  <si>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</si>
  <si>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</si>
  <si>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</si>
  <si>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</si>
  <si>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</si>
  <si>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</si>
  <si>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</si>
  <si>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</si>
  <si>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</si>
  <si>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</si>
  <si>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</si>
  <si>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</si>
  <si>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</si>
  <si>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</si>
  <si>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</si>
  <si>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</si>
  <si>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</si>
  <si>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</si>
  <si>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</si>
  <si>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</si>
  <si>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</si>
  <si>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</si>
  <si>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</si>
  <si>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</si>
  <si>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</si>
  <si>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</si>
  <si>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</si>
  <si>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</si>
  <si>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</si>
  <si>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</si>
  <si>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</si>
  <si>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</si>
  <si>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</si>
  <si>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</si>
  <si>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</si>
  <si>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</si>
  <si>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</si>
  <si>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</si>
  <si>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</si>
  <si>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</si>
  <si>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</si>
  <si>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</si>
  <si>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</si>
  <si>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</si>
  <si>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</si>
  <si>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</si>
  <si>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</si>
  <si>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</si>
  <si>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</si>
  <si>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</si>
  <si>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</si>
  <si>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</si>
  <si>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</si>
  <si>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</si>
  <si>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</si>
  <si>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</si>
  <si>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</si>
  <si>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</si>
  <si>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</si>
  <si>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</si>
  <si>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</si>
  <si>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</si>
  <si>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</si>
  <si>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</si>
  <si>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</si>
  <si>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</si>
  <si>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</si>
  <si>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</si>
  <si>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</si>
  <si>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</si>
  <si>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</si>
  <si>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</si>
  <si>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</si>
  <si>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</si>
  <si>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</si>
  <si>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</si>
  <si>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</si>
  <si>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</si>
  <si>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</si>
  <si>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</si>
  <si>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</si>
  <si>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</si>
  <si>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</si>
  <si>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</si>
  <si>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</si>
  <si>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</si>
  <si>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</si>
  <si>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</si>
  <si>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</si>
  <si>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</si>
  <si>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</si>
  <si>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</si>
  <si>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</si>
  <si>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</si>
  <si>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</si>
  <si>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</si>
  <si>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</si>
  <si>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</si>
  <si>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</si>
  <si>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</si>
  <si>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</si>
  <si>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</si>
  <si>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</si>
  <si>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</si>
  <si>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</si>
  <si>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</si>
  <si>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</si>
  <si>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</si>
  <si>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</si>
  <si>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</si>
  <si>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</si>
  <si>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</si>
  <si>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</si>
  <si>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</si>
  <si>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</si>
  <si>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</si>
  <si>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</si>
  <si>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</si>
  <si>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</si>
  <si>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</si>
  <si>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</si>
  <si>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</si>
  <si>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</si>
  <si>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</si>
  <si>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</si>
  <si>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</si>
  <si>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</si>
  <si>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</si>
  <si>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</si>
  <si>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</si>
  <si>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</si>
  <si>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</si>
  <si>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</si>
  <si>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</si>
  <si>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</si>
  <si>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</si>
  <si>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</si>
  <si>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</si>
  <si>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</si>
  <si>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</si>
  <si>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</si>
  <si>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</si>
  <si>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</si>
  <si>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</si>
  <si>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</si>
  <si>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</si>
  <si>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</si>
  <si>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</si>
  <si>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</si>
  <si>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</si>
  <si>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</si>
  <si>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</si>
  <si>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</si>
  <si>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</si>
  <si>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</si>
  <si>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</si>
  <si>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</si>
  <si>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</si>
  <si>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</si>
  <si>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</si>
  <si>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</si>
  <si>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</si>
  <si>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</si>
  <si>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</si>
  <si>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</si>
  <si>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</si>
  <si>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</si>
  <si>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</si>
  <si>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</si>
  <si>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</si>
  <si>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</si>
  <si>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</si>
  <si>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</si>
  <si>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</si>
  <si>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</si>
  <si>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</si>
  <si>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</si>
  <si>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</si>
  <si>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</si>
  <si>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</si>
  <si>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</si>
  <si>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</si>
  <si>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</si>
  <si>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</si>
  <si>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</si>
  <si>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</si>
  <si>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</si>
  <si>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</si>
  <si>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</si>
  <si>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</si>
  <si>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</si>
  <si>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</si>
  <si>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</si>
  <si>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</si>
  <si>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</si>
  <si>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</si>
  <si>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</si>
  <si>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</si>
  <si>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</si>
  <si>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</si>
  <si>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</si>
  <si>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</si>
  <si>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</si>
  <si>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</si>
  <si>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</si>
  <si>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</si>
  <si>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</si>
  <si>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</si>
  <si>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</si>
  <si>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</si>
  <si>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</si>
  <si>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</si>
  <si>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</si>
  <si>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</si>
  <si>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</si>
  <si>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</si>
  <si>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</si>
  <si>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</si>
  <si>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</si>
  <si>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</si>
  <si>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</si>
  <si>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</si>
  <si>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</si>
  <si>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</si>
  <si>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</si>
  <si>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</si>
  <si>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</si>
  <si>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</si>
  <si>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</si>
  <si>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</si>
  <si>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</si>
  <si>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</si>
  <si>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</si>
  <si>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</si>
  <si>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</si>
  <si>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</si>
  <si>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</si>
  <si>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</si>
  <si>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</si>
  <si>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</si>
  <si>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</si>
  <si>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</si>
  <si>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</si>
  <si>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</si>
  <si>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</si>
  <si>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</si>
  <si>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</si>
  <si>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</si>
  <si>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</si>
  <si>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</si>
  <si>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</si>
  <si>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</si>
  <si>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</si>
  <si>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</si>
  <si>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</si>
  <si>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</si>
  <si>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</si>
  <si>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</si>
  <si>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</si>
  <si>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</si>
  <si>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</si>
  <si>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</si>
  <si>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</si>
  <si>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</si>
  <si>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</si>
  <si>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</si>
  <si>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</si>
  <si>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</si>
  <si>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</si>
  <si>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</si>
  <si>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</si>
  <si>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</si>
  <si>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</si>
  <si>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</si>
  <si>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</si>
  <si>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</si>
  <si>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</si>
  <si>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</si>
  <si>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</si>
  <si>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</si>
  <si>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</si>
  <si>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</si>
  <si>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</si>
  <si>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</si>
  <si>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</si>
  <si>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</si>
  <si>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</si>
  <si>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</si>
  <si>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</si>
  <si>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</si>
  <si>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</si>
  <si>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</si>
  <si>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</si>
  <si>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</si>
  <si>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</si>
  <si>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</si>
  <si>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</si>
  <si>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</si>
  <si>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</si>
  <si>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</si>
  <si>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</si>
  <si>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</si>
  <si>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</si>
  <si>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</si>
  <si>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</si>
  <si>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</si>
  <si>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</si>
  <si>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</si>
  <si>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</si>
  <si>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</si>
  <si>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</si>
  <si>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</si>
  <si>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</si>
  <si>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</si>
  <si>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</si>
  <si>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</si>
  <si>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</si>
  <si>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</si>
  <si>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</si>
  <si>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</si>
  <si>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</si>
  <si>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</si>
  <si>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</si>
  <si>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</si>
  <si>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</si>
  <si>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</si>
  <si>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</si>
  <si>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</si>
  <si>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</si>
  <si>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</si>
  <si>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</si>
  <si>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</si>
  <si>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</si>
  <si>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</si>
  <si>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</si>
  <si>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</si>
  <si>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</si>
  <si>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</si>
  <si>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</si>
  <si>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</si>
  <si>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</si>
  <si>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</si>
  <si>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</si>
  <si>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</si>
  <si>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</si>
  <si>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</si>
  <si>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</si>
  <si>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</si>
  <si>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</si>
  <si>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</si>
  <si>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</si>
  <si>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</si>
  <si>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</si>
  <si>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</si>
  <si>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</si>
  <si>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</si>
  <si>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</si>
  <si>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</si>
  <si>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</si>
  <si>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</si>
  <si>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</si>
  <si>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</si>
  <si>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</si>
  <si>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</si>
  <si>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</si>
  <si>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</si>
  <si>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</si>
  <si>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</si>
  <si>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</si>
  <si>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</si>
  <si>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</si>
  <si>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</si>
  <si>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</si>
  <si>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</si>
  <si>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</si>
  <si>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</si>
  <si>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</si>
  <si>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</si>
  <si>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</si>
  <si>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</si>
  <si>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</si>
  <si>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</si>
  <si>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</si>
  <si>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</si>
  <si>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</si>
  <si>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</si>
  <si>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</si>
  <si>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</si>
  <si>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</si>
  <si>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</si>
  <si>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</si>
  <si>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</si>
  <si>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</si>
  <si>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</si>
  <si>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</si>
  <si>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</si>
  <si>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</si>
  <si>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</si>
  <si>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</si>
  <si>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</si>
  <si>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</si>
  <si>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</si>
  <si>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</si>
  <si>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</si>
  <si>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</si>
  <si>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</si>
  <si>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</si>
  <si>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</si>
  <si>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</si>
  <si>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</si>
  <si>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</si>
  <si>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</si>
  <si>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</si>
  <si>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</si>
  <si>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</si>
  <si>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</si>
  <si>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</si>
  <si>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</si>
  <si>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</si>
  <si>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</si>
  <si>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</si>
  <si>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</si>
  <si>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</si>
  <si>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</si>
  <si>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</si>
  <si>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</si>
  <si>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</si>
  <si>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</si>
  <si>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</si>
  <si>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</si>
  <si>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</si>
  <si>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</si>
  <si>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</si>
  <si>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</si>
  <si>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</si>
  <si>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</si>
  <si>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</si>
  <si>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</si>
  <si>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</si>
  <si>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</si>
  <si>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</si>
  <si>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</si>
  <si>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</si>
  <si>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</si>
  <si>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</si>
  <si>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</si>
  <si>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</si>
  <si>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</si>
  <si>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</si>
  <si>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</si>
  <si>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</si>
  <si>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</si>
  <si>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</si>
  <si>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</si>
  <si>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</si>
  <si>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</si>
  <si>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</si>
  <si>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</si>
  <si>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</si>
  <si>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</si>
  <si>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</si>
  <si>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</si>
  <si>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</si>
  <si>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</si>
  <si>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</si>
  <si>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</si>
  <si>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</si>
  <si>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</si>
  <si>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</si>
  <si>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</si>
  <si>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</si>
  <si>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</si>
  <si>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</si>
  <si>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</si>
  <si>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</si>
  <si>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</si>
  <si>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</si>
  <si>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</si>
  <si>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</si>
  <si>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</si>
  <si>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</si>
  <si>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</si>
  <si>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</si>
  <si>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</si>
  <si>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</si>
  <si>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</si>
  <si>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</si>
  <si>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</si>
  <si>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</si>
  <si>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</si>
  <si>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</si>
  <si>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</si>
  <si>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</si>
  <si>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</si>
  <si>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</si>
  <si>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</si>
  <si>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</si>
  <si>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</si>
  <si>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</si>
  <si>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</si>
  <si>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</si>
  <si>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</si>
  <si>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</si>
  <si>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</si>
  <si>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</si>
  <si>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</si>
  <si>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</si>
  <si>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</si>
  <si>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</si>
  <si>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</si>
  <si>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</si>
  <si>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</si>
  <si>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</si>
  <si>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</si>
  <si>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</si>
  <si>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</si>
  <si>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</si>
  <si>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</si>
  <si>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</si>
  <si>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</si>
  <si>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</si>
  <si>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</si>
  <si>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</si>
  <si>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</si>
  <si>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</si>
  <si>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</si>
  <si>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</si>
  <si>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</si>
  <si>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</si>
  <si>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</si>
  <si>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</si>
  <si>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</si>
  <si>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</si>
  <si>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</si>
  <si>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</si>
  <si>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</si>
  <si>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</si>
  <si>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</si>
  <si>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</si>
  <si>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</si>
  <si>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</si>
  <si>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</si>
  <si>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</si>
  <si>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</si>
  <si>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</si>
  <si>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</si>
  <si>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</si>
  <si>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</si>
  <si>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</si>
  <si>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</si>
  <si>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</si>
  <si>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</si>
  <si>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</si>
  <si>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</si>
  <si>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</si>
  <si>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</si>
  <si>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</si>
  <si>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</si>
  <si>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</si>
  <si>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</si>
  <si>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</si>
  <si>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</si>
  <si>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</si>
  <si>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</si>
  <si>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</si>
  <si>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</si>
  <si>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</si>
  <si>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</si>
  <si>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</si>
  <si>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</si>
  <si>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</si>
  <si>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</si>
  <si>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</si>
  <si>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</si>
  <si>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</si>
  <si>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</si>
  <si>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</si>
  <si>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</si>
  <si>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</si>
  <si>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</si>
  <si>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</si>
  <si>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</si>
  <si>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</si>
  <si>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</si>
  <si>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</si>
  <si>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</si>
  <si>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</si>
  <si>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</si>
  <si>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</si>
  <si>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</si>
  <si>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</si>
  <si>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</si>
  <si>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</si>
  <si>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</si>
  <si>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</si>
  <si>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</si>
  <si>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</si>
  <si>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</si>
  <si>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</si>
  <si>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</si>
  <si>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</si>
  <si>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</si>
  <si>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</si>
  <si>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</si>
  <si>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</si>
  <si>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</si>
  <si>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</si>
  <si>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</si>
  <si>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</si>
  <si>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</si>
  <si>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</si>
  <si>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</si>
  <si>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</si>
  <si>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</si>
  <si>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</si>
  <si>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</si>
  <si>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</si>
  <si>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</si>
  <si>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</si>
  <si>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</si>
  <si>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</si>
  <si>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</si>
  <si>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</si>
  <si>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</si>
  <si>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</si>
  <si>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</si>
  <si>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</si>
  <si>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</si>
  <si>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</si>
  <si>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</si>
  <si>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</si>
  <si>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</si>
  <si>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</si>
  <si>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</si>
  <si>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</si>
  <si>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</si>
  <si>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</si>
  <si>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</si>
  <si>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</si>
  <si>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</si>
  <si>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</si>
  <si>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</si>
  <si>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</si>
  <si>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</si>
  <si>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</si>
  <si>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</si>
  <si>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</si>
  <si>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</si>
  <si>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</si>
  <si>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</si>
  <si>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</si>
  <si>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</si>
  <si>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</si>
  <si>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Mean Unit price</t>
  </si>
  <si>
    <t>Median Unit Price</t>
  </si>
  <si>
    <t>Count of Orders</t>
  </si>
  <si>
    <t>Minimun Price</t>
  </si>
  <si>
    <t>Maximum Price</t>
  </si>
  <si>
    <t>Shipped orders</t>
  </si>
  <si>
    <t>Delivered orders</t>
  </si>
  <si>
    <t>Cancelled orders</t>
  </si>
  <si>
    <t>Returned orders</t>
  </si>
  <si>
    <t>Mean order value</t>
  </si>
  <si>
    <t>Median order value</t>
  </si>
  <si>
    <t>minimun order value</t>
  </si>
  <si>
    <t>Maximum order value</t>
  </si>
  <si>
    <t>Q1 Unit Price</t>
  </si>
  <si>
    <t>Q3 Unit Price</t>
  </si>
  <si>
    <t>IQR</t>
  </si>
  <si>
    <t>Lower boundary</t>
  </si>
  <si>
    <t>Upper Boundary</t>
  </si>
  <si>
    <t>Row Labels</t>
  </si>
  <si>
    <t>Grand Total</t>
  </si>
  <si>
    <t>Sum of Quantity</t>
  </si>
  <si>
    <t>Count of OrderID</t>
  </si>
  <si>
    <t>Count of CustomerID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</si>
  <si>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</si>
  <si>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</si>
  <si>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</si>
  <si>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</si>
  <si>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</si>
  <si>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</si>
  <si>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</si>
  <si>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</si>
  <si>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</si>
  <si>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</si>
  <si>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</si>
  <si>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</si>
  <si>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</si>
  <si>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outliers found</t>
  </si>
  <si>
    <t>Total normal orders</t>
  </si>
  <si>
    <t xml:space="preserve">Mean is above Median </t>
  </si>
  <si>
    <t>Median is  higher than mean</t>
  </si>
  <si>
    <t>IQR for Unit price</t>
  </si>
  <si>
    <t>IQR for Total price</t>
  </si>
  <si>
    <t>Q1 Total Price</t>
  </si>
  <si>
    <t>Q3 Total price</t>
  </si>
  <si>
    <t>Upper boundary</t>
  </si>
  <si>
    <t>Outlier flag(unit price)</t>
  </si>
  <si>
    <t>outlier flag(total price)</t>
  </si>
  <si>
    <t>Total Normal orders</t>
  </si>
  <si>
    <t xml:space="preserve">                                                                                </t>
  </si>
  <si>
    <r>
      <rPr>
        <b/>
        <sz val="22"/>
        <color theme="0"/>
        <rFont val="Calibri"/>
        <family val="2"/>
        <scheme val="minor"/>
      </rPr>
      <t xml:space="preserve">#
1,200
</t>
    </r>
    <r>
      <rPr>
        <b/>
        <sz val="10"/>
        <color theme="0"/>
        <rFont val="Calibri"/>
        <family val="2"/>
        <scheme val="minor"/>
      </rPr>
      <t>Total Dataset Analyzed</t>
    </r>
  </si>
  <si>
    <r>
      <rPr>
        <b/>
        <sz val="20"/>
        <color rgb="FFFF0000"/>
        <rFont val="Calibri"/>
        <family val="2"/>
        <scheme val="minor"/>
      </rPr>
      <t>x</t>
    </r>
    <r>
      <rPr>
        <b/>
        <sz val="20"/>
        <color theme="0"/>
        <rFont val="Calibri"/>
        <family val="2"/>
        <scheme val="minor"/>
      </rPr>
      <t xml:space="preserve">
</t>
    </r>
    <r>
      <rPr>
        <b/>
        <sz val="22"/>
        <color theme="0"/>
        <rFont val="Calibri"/>
        <family val="2"/>
        <scheme val="minor"/>
      </rPr>
      <t xml:space="preserve">20.8%
</t>
    </r>
    <r>
      <rPr>
        <b/>
        <sz val="10"/>
        <color theme="0"/>
        <rFont val="Calibri"/>
        <family val="2"/>
        <scheme val="minor"/>
      </rPr>
      <t>CANCELLATION RATE</t>
    </r>
  </si>
  <si>
    <r>
      <t xml:space="preserve">◄
20.6%
</t>
    </r>
    <r>
      <rPr>
        <b/>
        <sz val="10"/>
        <color theme="0"/>
        <rFont val="Calibri"/>
        <family val="2"/>
        <scheme val="minor"/>
      </rPr>
      <t>RETURN RATE</t>
    </r>
  </si>
  <si>
    <r>
      <rPr>
        <b/>
        <sz val="22"/>
        <color theme="0"/>
        <rFont val="Calibri"/>
        <family val="2"/>
        <scheme val="minor"/>
      </rPr>
      <t>«
INSTAGRAM</t>
    </r>
    <r>
      <rPr>
        <b/>
        <sz val="11"/>
        <color theme="0"/>
        <rFont val="Calibri"/>
        <family val="2"/>
        <scheme val="minor"/>
      </rPr>
      <t xml:space="preserve">
</t>
    </r>
    <r>
      <rPr>
        <b/>
        <sz val="10"/>
        <color theme="0"/>
        <rFont val="Calibri"/>
        <family val="2"/>
        <scheme val="minor"/>
      </rPr>
      <t>TOP ACQUISITION CHANNEL</t>
    </r>
  </si>
  <si>
    <r>
      <rPr>
        <b/>
        <sz val="20"/>
        <color theme="0"/>
        <rFont val="Calibri"/>
        <family val="2"/>
        <scheme val="minor"/>
      </rPr>
      <t>*
CHAIRS</t>
    </r>
    <r>
      <rPr>
        <b/>
        <sz val="11"/>
        <color theme="0"/>
        <rFont val="Calibri"/>
        <family val="2"/>
        <scheme val="minor"/>
      </rPr>
      <t xml:space="preserve">
</t>
    </r>
    <r>
      <rPr>
        <b/>
        <sz val="10"/>
        <color theme="0"/>
        <rFont val="Calibri"/>
        <family val="2"/>
        <scheme val="minor"/>
      </rPr>
      <t>BEST SELLING PRODUCT</t>
    </r>
  </si>
  <si>
    <r>
      <rPr>
        <b/>
        <sz val="22"/>
        <color theme="0"/>
        <rFont val="Calibri"/>
        <family val="2"/>
        <scheme val="minor"/>
      </rPr>
      <t>~
JUNE</t>
    </r>
    <r>
      <rPr>
        <b/>
        <sz val="11"/>
        <color theme="0"/>
        <rFont val="Calibri"/>
        <family val="2"/>
        <scheme val="minor"/>
      </rPr>
      <t xml:space="preserve">
</t>
    </r>
    <r>
      <rPr>
        <b/>
        <sz val="10"/>
        <color theme="0"/>
        <rFont val="Calibri"/>
        <family val="2"/>
        <scheme val="minor"/>
      </rPr>
      <t>PEAK SALES MONTH</t>
    </r>
  </si>
  <si>
    <r>
      <rPr>
        <b/>
        <sz val="22"/>
        <color theme="0"/>
        <rFont val="Calibri"/>
        <family val="2"/>
        <scheme val="minor"/>
      </rPr>
      <t xml:space="preserve">$
ONLINE 
</t>
    </r>
    <r>
      <rPr>
        <b/>
        <sz val="10"/>
        <color theme="0"/>
        <rFont val="Calibri"/>
        <family val="2"/>
        <scheme val="minor"/>
      </rPr>
      <t>MOST USED PAYMNENT METHOD</t>
    </r>
  </si>
  <si>
    <r>
      <rPr>
        <b/>
        <sz val="22"/>
        <color theme="0"/>
        <rFont val="Calibri"/>
        <family val="2"/>
        <scheme val="minor"/>
      </rPr>
      <t xml:space="preserve">$
823.62
</t>
    </r>
    <r>
      <rPr>
        <b/>
        <sz val="10"/>
        <color theme="0"/>
        <rFont val="Calibri"/>
        <family val="2"/>
        <scheme val="minor"/>
      </rPr>
      <t>MEDIAN ORDER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</si>
</sst>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66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0" fontId="1" fillId="0" borderId="0" xfId="0" applyFont="1"/>
    <xf numFmtId="0" fontId="0" fillId="0" borderId="0" xfId="0" applyAlignmen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Fill="1" applyBorder="1" applyAlignment="1">
      <alignment wrapText="1"/>
    </xf>
    <xf numFmtId="0" fontId="6" fillId="3" borderId="3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horizontal="left" wrapText="1"/>
    </xf>
    <xf numFmtId="0" fontId="8" fillId="3" borderId="6" xfId="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left" wrapText="1"/>
    </xf>
    <xf numFmtId="0" fontId="8" fillId="3" borderId="8" xfId="0" applyFont="1" applyFill="1" applyBorder="1" applyAlignment="1">
      <alignment horizontal="left" wrapText="1"/>
    </xf>
    <xf numFmtId="0" fontId="8" fillId="3" borderId="9" xfId="0" applyFont="1" applyFill="1" applyBorder="1" applyAlignment="1">
      <alignment horizontal="left" wrapText="1"/>
    </xf>
    <xf numFmtId="0" fontId="8" fillId="3" borderId="10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5" fillId="5" borderId="3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2" fillId="7" borderId="0" xfId="0" applyFont="1" applyFill="1" applyAlignment="1">
      <alignment horizontal="left" wrapText="1"/>
    </xf>
    <xf numFmtId="0" fontId="0" fillId="7" borderId="0" xfId="0" applyFill="1" applyAlignment="1">
      <alignment horizontal="left"/>
    </xf>
    <xf numFmtId="0" fontId="2" fillId="8" borderId="0" xfId="0" applyFont="1" applyFill="1" applyAlignment="1">
      <alignment horizontal="left" wrapText="1"/>
    </xf>
    <xf numFmtId="0" fontId="0" fillId="8" borderId="0" xfId="0" applyFill="1" applyAlignment="1">
      <alignment horizontal="left"/>
    </xf>
    <xf numFmtId="0" fontId="2" fillId="6" borderId="0" xfId="0" applyFont="1" applyFill="1" applyAlignment="1">
      <alignment horizontal="left" wrapText="1"/>
    </xf>
    <xf numFmtId="0" fontId="0" fillId="6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2" fillId="9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[DOC-20260624-WA0176.xlsx]Sheet4!PivotTable9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GB" b="1"/>
              <a:t>Monthly sales trend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Sheet4!$E$11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Sheet4!$D$12:$D$24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Sheet4!$E$12:$E$24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140224"/>
        <c:axId val="319141760"/>
      </c:lineChart>
      <c:catAx>
        <c:axId val="319140224"/>
        <c:scaling>
          <c:orientation val="minMax"/>
        </c:scaling>
        <c:delete val="0"/>
        <c:axPos val="b"/>
        <c:majorTickMark val="none"/>
        <c:minorTickMark val="none"/>
        <c:tickLblPos val="nextTo"/>
        <c:crossAx val="319141760"/>
        <c:crosses val="autoZero"/>
        <c:auto val="1"/>
        <c:lblAlgn val="ctr"/>
        <c:lblOffset val="100"/>
        <c:noMultiLvlLbl val="0"/>
      </c:catAx>
      <c:valAx>
        <c:axId val="319141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319140224"/>
        <c:crosses val="autoZero"/>
        <c:crossBetween val="between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76458027121609795"/>
          <c:y val="0.8860535141440653"/>
          <c:w val="0.21806146106736654"/>
          <c:h val="8.7189413823272097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12700">
      <a:solidFill>
        <a:schemeClr val="bg1">
          <a:lumMod val="85000"/>
        </a:schemeClr>
      </a:solidFill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[DOC-20260624-WA0176.xlsx]Sheet4!PivotTable5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selling products by Quantity sold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Sheet4!$A$2:$A$9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329376512"/>
        <c:axId val="329379200"/>
      </c:barChart>
      <c:catAx>
        <c:axId val="329376512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</a:defRPr>
            </a:pPr>
            <a:endParaRPr lang="en-US"/>
          </a:p>
        </c:txPr>
        <c:crossAx val="329379200"/>
        <c:crosses val="autoZero"/>
        <c:auto val="1"/>
        <c:lblAlgn val="ctr"/>
        <c:lblOffset val="100"/>
        <c:noMultiLvlLbl val="0"/>
      </c:catAx>
      <c:valAx>
        <c:axId val="3293792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</a:defRPr>
            </a:pPr>
            <a:endParaRPr lang="en-US"/>
          </a:p>
        </c:txPr>
        <c:crossAx val="329376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[DOC-20260624-WA0176.xlsx]Sheet4!PivotTable6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</a:t>
            </a:r>
          </a:p>
          <a:p>
            <a:pPr>
              <a:defRPr/>
            </a:pPr>
            <a:r>
              <a:rPr lang="en-US"/>
              <a:t> Distribution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dLbl>
          <c:idx val="0"/>
          <c:layout/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Sheet4!$H$1</c:f>
              <c:strCache>
                <c:ptCount val="1"/>
                <c:pt idx="0">
                  <c:v>Total</c:v>
                </c:pt>
              </c:strCache>
            </c:strRef>
          </c:tx>
          <c:explosion val="4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Sheet4!$G$2:$G$7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Sheet4!$H$2:$H$7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spPr>
    <a:noFill/>
  </c:spPr>
  <c:txPr>
    <a:bodyPr/>
    <a:lstStyle/>
    <a:p>
      <a:pPr>
        <a:defRPr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[DOC-20260624-WA0176.xlsx]Sheet4!PivotTable7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Order</a:t>
            </a:r>
            <a:r>
              <a:rPr lang="en-US" baseline="0"/>
              <a:t> Status Distribution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dLbl>
          <c:idx val="0"/>
          <c:layout/>
          <c:showLegendKey val="0"/>
          <c:showVal val="0"/>
          <c:showCatName val="1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Sheet4!$E$1</c:f>
              <c:strCache>
                <c:ptCount val="1"/>
                <c:pt idx="0">
                  <c:v>Total</c:v>
                </c:pt>
              </c:strCache>
            </c:strRef>
          </c:tx>
          <c:explosion val="16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Sheet4!$D$2:$D$7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Sheet4!$E$2:$E$7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[DOC-20260624-WA0176.xlsx]Sheet4!PivotTable8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Acquisition by Referral Source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3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c:spPr>
          <c:invertIfNegative val="0"/>
          <c:cat>
            <c:strRef>
              <c:f>Sheet4!$A$12:$A$17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Sheet4!$B$12:$B$17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329471104"/>
        <c:axId val="329472640"/>
      </c:barChart>
      <c:catAx>
        <c:axId val="329471104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>
                <a:effectLst>
                  <a:glow rad="139700">
                    <a:schemeClr val="accent3">
                      <a:satMod val="175000"/>
                      <a:alpha val="40000"/>
                    </a:schemeClr>
                  </a:glow>
                </a:effectLst>
              </a:defRPr>
            </a:pPr>
            <a:endParaRPr lang="en-US"/>
          </a:p>
        </c:txPr>
        <c:crossAx val="329472640"/>
        <c:crosses val="autoZero"/>
        <c:auto val="1"/>
        <c:lblAlgn val="ctr"/>
        <c:lblOffset val="100"/>
        <c:noMultiLvlLbl val="0"/>
      </c:catAx>
      <c:valAx>
        <c:axId val="3294726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effectLst>
                  <a:glow rad="101600">
                    <a:schemeClr val="accent3">
                      <a:satMod val="175000"/>
                      <a:alpha val="40000"/>
                    </a:schemeClr>
                  </a:glow>
                </a:effectLst>
              </a:defRPr>
            </a:pPr>
            <a:endParaRPr lang="en-US"/>
          </a:p>
        </c:txPr>
        <c:crossAx val="32947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[DOC-20260624-WA0176.xlsx]Sheet4!PivotTable10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Revenue</a:t>
            </a:r>
            <a:r>
              <a:rPr lang="en-GB" baseline="0"/>
              <a:t> by Product</a:t>
            </a:r>
            <a:endParaRPr lang="en-GB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Sheet4!$H$10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Sheet4!$G$11:$G$18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Sheet4!$H$11:$H$18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770496"/>
        <c:axId val="331817728"/>
      </c:lineChart>
      <c:catAx>
        <c:axId val="331770496"/>
        <c:scaling>
          <c:orientation val="minMax"/>
        </c:scaling>
        <c:delete val="0"/>
        <c:axPos val="b"/>
        <c:majorTickMark val="out"/>
        <c:minorTickMark val="none"/>
        <c:tickLblPos val="nextTo"/>
        <c:crossAx val="331817728"/>
        <c:crosses val="autoZero"/>
        <c:auto val="1"/>
        <c:lblAlgn val="ctr"/>
        <c:lblOffset val="100"/>
        <c:noMultiLvlLbl val="0"/>
      </c:catAx>
      <c:valAx>
        <c:axId val="33181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770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171450</xdr:rowOff>
    </xdr:from>
    <xdr:to>
      <xdr:col>7</xdr:col>
      <xdr:colOff>400050</xdr:colOff>
      <xdr:row>15</xdr:row>
      <xdr:rowOff>57150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0</xdr:row>
      <xdr:rowOff>76200</xdr:rowOff>
    </xdr:from>
    <xdr:to>
      <xdr:col>16</xdr:col>
      <xdr:colOff>85725</xdr:colOff>
      <xdr:row>14</xdr:row>
      <xdr:rowOff>152400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15</xdr:row>
      <xdr:rowOff>171450</xdr:rowOff>
    </xdr:from>
    <xdr:to>
      <xdr:col>7</xdr:col>
      <xdr:colOff>400050</xdr:colOff>
      <xdr:row>30</xdr:row>
      <xdr:rowOff>57150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15</xdr:row>
      <xdr:rowOff>180975</xdr:rowOff>
    </xdr:from>
    <xdr:to>
      <xdr:col>16</xdr:col>
      <xdr:colOff>76200</xdr:colOff>
      <xdr:row>30</xdr:row>
      <xdr:rowOff>66675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30</xdr:row>
      <xdr:rowOff>133350</xdr:rowOff>
    </xdr:from>
    <xdr:to>
      <xdr:col>7</xdr:col>
      <xdr:colOff>438150</xdr:colOff>
      <xdr:row>45</xdr:row>
      <xdr:rowOff>19050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409575</xdr:colOff>
      <xdr:row>30</xdr:row>
      <xdr:rowOff>161925</xdr:rowOff>
    </xdr:from>
    <xdr:to>
      <xdr:col>16</xdr:col>
      <xdr:colOff>104775</xdr:colOff>
      <xdr:row>45</xdr:row>
      <xdr:rowOff>47625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06.383183912039" createdVersion="4" refreshedVersion="4" minRefreshableVersion="3" recordCount="1200">
  <cacheSource type="worksheet">
    <worksheetSource ref="A1:O1201" sheet="Cleaned Data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4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Outlier flag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x v="0"/>
    <x v="0"/>
    <s v="TRK37947903"/>
    <n v="7"/>
    <s v="SAVE10"/>
    <x v="0"/>
    <x v="0"/>
    <m/>
  </r>
  <r>
    <s v="ORD200001"/>
    <x v="1"/>
    <s v="C75739"/>
    <x v="1"/>
    <n v="2"/>
    <n v="151.35"/>
    <s v="823 Main St"/>
    <x v="1"/>
    <x v="0"/>
    <s v="TRK91186779"/>
    <n v="3"/>
    <s v="SAVE10"/>
    <x v="1"/>
    <x v="1"/>
    <m/>
  </r>
  <r>
    <s v="ORD200002"/>
    <x v="2"/>
    <s v="C81728"/>
    <x v="2"/>
    <n v="5"/>
    <n v="550.67999999999995"/>
    <s v="512 Main St"/>
    <x v="2"/>
    <x v="1"/>
    <s v="TRK42903982"/>
    <n v="8"/>
    <s v="FREESHIP"/>
    <x v="2"/>
    <x v="2"/>
    <m/>
  </r>
  <r>
    <s v="ORD200003"/>
    <x v="3"/>
    <s v="C33540"/>
    <x v="3"/>
    <n v="1"/>
    <n v="273.19"/>
    <s v="275 Main St"/>
    <x v="0"/>
    <x v="2"/>
    <s v="TRK62788070"/>
    <n v="5"/>
    <s v="SAVE10"/>
    <x v="3"/>
    <x v="3"/>
    <m/>
  </r>
  <r>
    <s v="ORD200004"/>
    <x v="4"/>
    <s v="C81840"/>
    <x v="4"/>
    <n v="4"/>
    <n v="626.01"/>
    <s v="668 Main St"/>
    <x v="1"/>
    <x v="3"/>
    <s v="TRK29241424"/>
    <n v="8"/>
    <s v="SAVE10"/>
    <x v="2"/>
    <x v="4"/>
    <m/>
  </r>
  <r>
    <s v="ORD200005"/>
    <x v="5"/>
    <s v="C37249"/>
    <x v="1"/>
    <n v="2"/>
    <n v="245.86"/>
    <s v="934 Main St"/>
    <x v="2"/>
    <x v="0"/>
    <s v="TRK72976927"/>
    <n v="4"/>
    <s v="SAVE10"/>
    <x v="0"/>
    <x v="5"/>
    <m/>
  </r>
  <r>
    <s v="ORD200006"/>
    <x v="6"/>
    <s v="C83492"/>
    <x v="5"/>
    <n v="1"/>
    <n v="664.42"/>
    <s v="986 Main St"/>
    <x v="3"/>
    <x v="2"/>
    <s v="TRK96417362"/>
    <n v="6"/>
    <s v="SAVE10"/>
    <x v="3"/>
    <x v="6"/>
    <m/>
  </r>
  <r>
    <s v="ORD200007"/>
    <x v="7"/>
    <s v="C41460"/>
    <x v="0"/>
    <n v="5"/>
    <n v="149.55000000000001"/>
    <s v="706 Main St"/>
    <x v="4"/>
    <x v="0"/>
    <s v="TRK78809193"/>
    <n v="9"/>
    <s v="FREESHIP"/>
    <x v="3"/>
    <x v="7"/>
    <m/>
  </r>
  <r>
    <s v="ORD200008"/>
    <x v="8"/>
    <s v="C26817"/>
    <x v="1"/>
    <n v="2"/>
    <n v="134.28"/>
    <s v="904 Main St"/>
    <x v="3"/>
    <x v="1"/>
    <s v="TRK61042692"/>
    <n v="2"/>
    <s v="NO COUPON"/>
    <x v="2"/>
    <x v="8"/>
    <m/>
  </r>
  <r>
    <s v="ORD200009"/>
    <x v="9"/>
    <s v="C31946"/>
    <x v="6"/>
    <n v="4"/>
    <n v="509.38"/>
    <s v="102 Main St"/>
    <x v="2"/>
    <x v="0"/>
    <s v="TRK33478363"/>
    <n v="6"/>
    <s v="SAVE10"/>
    <x v="4"/>
    <x v="9"/>
    <m/>
  </r>
  <r>
    <s v="ORD200010"/>
    <x v="10"/>
    <s v="C43443"/>
    <x v="2"/>
    <n v="5"/>
    <n v="625.97"/>
    <s v="333 Main St"/>
    <x v="2"/>
    <x v="2"/>
    <s v="TRK98859248"/>
    <n v="9"/>
    <s v="WINTER15"/>
    <x v="0"/>
    <x v="10"/>
    <m/>
  </r>
  <r>
    <s v="ORD200011"/>
    <x v="11"/>
    <s v="C93861"/>
    <x v="0"/>
    <n v="3"/>
    <n v="49.14"/>
    <s v="831 Main St"/>
    <x v="1"/>
    <x v="2"/>
    <s v="TRK48234646"/>
    <n v="7"/>
    <s v="SAVE10"/>
    <x v="2"/>
    <x v="11"/>
    <m/>
  </r>
  <r>
    <s v="ORD200012"/>
    <x v="12"/>
    <s v="C38785"/>
    <x v="0"/>
    <n v="2"/>
    <n v="180.5"/>
    <s v="179 Main St"/>
    <x v="0"/>
    <x v="4"/>
    <s v="TRK20419991"/>
    <n v="6"/>
    <s v="FREESHIP"/>
    <x v="1"/>
    <x v="12"/>
    <m/>
  </r>
  <r>
    <s v="ORD200013"/>
    <x v="13"/>
    <s v="C88348"/>
    <x v="5"/>
    <n v="3"/>
    <n v="201.49"/>
    <s v="903 Main St"/>
    <x v="2"/>
    <x v="2"/>
    <s v="TRK81913874"/>
    <n v="4"/>
    <s v="FREESHIP"/>
    <x v="3"/>
    <x v="13"/>
    <m/>
  </r>
  <r>
    <s v="ORD200014"/>
    <x v="14"/>
    <s v="C98474"/>
    <x v="2"/>
    <n v="2"/>
    <n v="393.33"/>
    <s v="980 Main St"/>
    <x v="0"/>
    <x v="4"/>
    <s v="TRK79186539"/>
    <n v="3"/>
    <s v="SAVE10"/>
    <x v="0"/>
    <x v="14"/>
    <m/>
  </r>
  <r>
    <s v="ORD200015"/>
    <x v="15"/>
    <s v="C39416"/>
    <x v="4"/>
    <n v="1"/>
    <n v="473.96"/>
    <s v="942 Main St"/>
    <x v="4"/>
    <x v="3"/>
    <s v="TRK54930938"/>
    <n v="3"/>
    <s v="NO COUPON"/>
    <x v="4"/>
    <x v="15"/>
    <m/>
  </r>
  <r>
    <s v="ORD200016"/>
    <x v="16"/>
    <s v="C28976"/>
    <x v="4"/>
    <n v="2"/>
    <n v="533.80999999999995"/>
    <s v="914 Main St"/>
    <x v="2"/>
    <x v="4"/>
    <s v="TRK13194259"/>
    <n v="3"/>
    <s v="FREESHIP"/>
    <x v="2"/>
    <x v="16"/>
    <m/>
  </r>
  <r>
    <s v="ORD200017"/>
    <x v="17"/>
    <s v="C60672"/>
    <x v="2"/>
    <n v="1"/>
    <n v="423.4"/>
    <s v="382 Main St"/>
    <x v="0"/>
    <x v="0"/>
    <s v="TRK11972116"/>
    <n v="3"/>
    <s v="NO COUPON"/>
    <x v="1"/>
    <x v="17"/>
    <m/>
  </r>
  <r>
    <s v="ORD200018"/>
    <x v="18"/>
    <s v="C84329"/>
    <x v="6"/>
    <n v="1"/>
    <n v="431.44"/>
    <s v="891 Main St"/>
    <x v="3"/>
    <x v="4"/>
    <s v="TRK65191045"/>
    <n v="3"/>
    <s v="SAVE10"/>
    <x v="3"/>
    <x v="18"/>
    <m/>
  </r>
  <r>
    <s v="ORD200019"/>
    <x v="19"/>
    <s v="C14552"/>
    <x v="0"/>
    <n v="5"/>
    <n v="224"/>
    <s v="273 Main St"/>
    <x v="4"/>
    <x v="2"/>
    <s v="TRK59101365"/>
    <n v="9"/>
    <s v="SAVE10"/>
    <x v="4"/>
    <x v="19"/>
    <m/>
  </r>
  <r>
    <s v="ORD200020"/>
    <x v="20"/>
    <s v="C54829"/>
    <x v="3"/>
    <n v="5"/>
    <n v="62.51"/>
    <s v="587 Main St"/>
    <x v="4"/>
    <x v="4"/>
    <s v="TRK16718651"/>
    <n v="9"/>
    <s v="WINTER15"/>
    <x v="0"/>
    <x v="20"/>
    <m/>
  </r>
  <r>
    <s v="ORD200021"/>
    <x v="21"/>
    <s v="C99023"/>
    <x v="0"/>
    <n v="4"/>
    <n v="342.95"/>
    <s v="569 Main St"/>
    <x v="4"/>
    <x v="3"/>
    <s v="TRK52646983"/>
    <n v="6"/>
    <s v="NO COUPON"/>
    <x v="4"/>
    <x v="21"/>
    <m/>
  </r>
  <r>
    <s v="ORD200022"/>
    <x v="22"/>
    <s v="C34416"/>
    <x v="0"/>
    <n v="2"/>
    <n v="49.62"/>
    <s v="633 Main St"/>
    <x v="1"/>
    <x v="4"/>
    <s v="TRK75937350"/>
    <n v="2"/>
    <s v="SAVE10"/>
    <x v="4"/>
    <x v="22"/>
    <m/>
  </r>
  <r>
    <s v="ORD200023"/>
    <x v="23"/>
    <s v="C42372"/>
    <x v="1"/>
    <n v="4"/>
    <n v="273.25"/>
    <s v="755 Main St"/>
    <x v="0"/>
    <x v="1"/>
    <s v="TRK36168083"/>
    <n v="5"/>
    <s v="FREESHIP"/>
    <x v="1"/>
    <x v="23"/>
    <m/>
  </r>
  <r>
    <s v="ORD200024"/>
    <x v="24"/>
    <s v="C17470"/>
    <x v="5"/>
    <n v="2"/>
    <n v="230.95"/>
    <s v="956 Main St"/>
    <x v="1"/>
    <x v="3"/>
    <s v="TRK28775057"/>
    <n v="3"/>
    <s v="WINTER15"/>
    <x v="1"/>
    <x v="24"/>
    <m/>
  </r>
  <r>
    <s v="ORD200025"/>
    <x v="25"/>
    <s v="C42577"/>
    <x v="0"/>
    <n v="1"/>
    <n v="399.98"/>
    <s v="709 Main St"/>
    <x v="0"/>
    <x v="3"/>
    <s v="TRK69423327"/>
    <n v="3"/>
    <s v="WINTER15"/>
    <x v="2"/>
    <x v="25"/>
    <m/>
  </r>
  <r>
    <s v="ORD200026"/>
    <x v="26"/>
    <s v="C21944"/>
    <x v="5"/>
    <n v="5"/>
    <n v="59.55"/>
    <s v="296 Main St"/>
    <x v="1"/>
    <x v="3"/>
    <s v="TRK80276812"/>
    <n v="6"/>
    <s v="NO COUPON"/>
    <x v="1"/>
    <x v="26"/>
    <m/>
  </r>
  <r>
    <s v="ORD200027"/>
    <x v="27"/>
    <s v="C97593"/>
    <x v="4"/>
    <n v="1"/>
    <n v="472.74"/>
    <s v="881 Main St"/>
    <x v="1"/>
    <x v="0"/>
    <s v="TRK89117573"/>
    <n v="6"/>
    <s v="WINTER15"/>
    <x v="4"/>
    <x v="27"/>
    <m/>
  </r>
  <r>
    <s v="ORD200028"/>
    <x v="9"/>
    <s v="C59823"/>
    <x v="1"/>
    <n v="4"/>
    <n v="160.07"/>
    <s v="568 Main St"/>
    <x v="1"/>
    <x v="4"/>
    <s v="TRK65895539"/>
    <n v="5"/>
    <s v="NO COUPON"/>
    <x v="2"/>
    <x v="28"/>
    <m/>
  </r>
  <r>
    <s v="ORD200029"/>
    <x v="28"/>
    <s v="C33260"/>
    <x v="6"/>
    <n v="3"/>
    <n v="423.53"/>
    <s v="930 Main St"/>
    <x v="2"/>
    <x v="3"/>
    <s v="TRK59744090"/>
    <n v="6"/>
    <s v="SAVE10"/>
    <x v="1"/>
    <x v="29"/>
    <m/>
  </r>
  <r>
    <s v="ORD200030"/>
    <x v="29"/>
    <s v="C44267"/>
    <x v="0"/>
    <n v="2"/>
    <n v="426.7"/>
    <s v="895 Main St"/>
    <x v="1"/>
    <x v="4"/>
    <s v="TRK54751444"/>
    <n v="5"/>
    <s v="SAVE10"/>
    <x v="1"/>
    <x v="30"/>
    <m/>
  </r>
  <r>
    <s v="ORD200031"/>
    <x v="30"/>
    <s v="C26445"/>
    <x v="3"/>
    <n v="3"/>
    <n v="500.08"/>
    <s v="996 Main St"/>
    <x v="0"/>
    <x v="2"/>
    <s v="TRK31229981"/>
    <n v="6"/>
    <s v="NO COUPON"/>
    <x v="3"/>
    <x v="31"/>
    <m/>
  </r>
  <r>
    <s v="ORD200032"/>
    <x v="31"/>
    <s v="C12388"/>
    <x v="2"/>
    <n v="5"/>
    <n v="536.72"/>
    <s v="830 Main St"/>
    <x v="4"/>
    <x v="3"/>
    <s v="TRK99261395"/>
    <n v="10"/>
    <s v="NO COUPON"/>
    <x v="2"/>
    <x v="32"/>
    <m/>
  </r>
  <r>
    <s v="ORD200033"/>
    <x v="32"/>
    <s v="C52184"/>
    <x v="3"/>
    <n v="1"/>
    <n v="162.77000000000001"/>
    <s v="912 Main St"/>
    <x v="1"/>
    <x v="1"/>
    <s v="TRK73312471"/>
    <n v="4"/>
    <s v="WINTER15"/>
    <x v="3"/>
    <x v="33"/>
    <m/>
  </r>
  <r>
    <s v="ORD200034"/>
    <x v="33"/>
    <s v="C67195"/>
    <x v="3"/>
    <n v="4"/>
    <n v="576.52"/>
    <s v="926 Main St"/>
    <x v="2"/>
    <x v="4"/>
    <s v="TRK55467915"/>
    <n v="5"/>
    <s v="WINTER15"/>
    <x v="3"/>
    <x v="34"/>
    <m/>
  </r>
  <r>
    <s v="ORD200035"/>
    <x v="34"/>
    <s v="C50304"/>
    <x v="0"/>
    <n v="2"/>
    <n v="465.15"/>
    <s v="128 Main St"/>
    <x v="1"/>
    <x v="0"/>
    <s v="TRK46850888"/>
    <n v="2"/>
    <s v="SAVE10"/>
    <x v="3"/>
    <x v="35"/>
    <m/>
  </r>
  <r>
    <s v="ORD200036"/>
    <x v="4"/>
    <s v="C59337"/>
    <x v="5"/>
    <n v="2"/>
    <n v="534.42999999999995"/>
    <s v="465 Main St"/>
    <x v="0"/>
    <x v="4"/>
    <s v="TRK50961250"/>
    <n v="5"/>
    <s v="NO COUPON"/>
    <x v="3"/>
    <x v="36"/>
    <m/>
  </r>
  <r>
    <s v="ORD200037"/>
    <x v="35"/>
    <s v="C10054"/>
    <x v="5"/>
    <n v="2"/>
    <n v="76.739999999999995"/>
    <s v="409 Main St"/>
    <x v="4"/>
    <x v="2"/>
    <s v="TRK94005261"/>
    <n v="7"/>
    <s v="SAVE10"/>
    <x v="0"/>
    <x v="37"/>
    <m/>
  </r>
  <r>
    <s v="ORD200038"/>
    <x v="36"/>
    <s v="C15924"/>
    <x v="5"/>
    <n v="1"/>
    <n v="245.89"/>
    <s v="549 Main St"/>
    <x v="0"/>
    <x v="3"/>
    <s v="TRK14835975"/>
    <n v="3"/>
    <s v="SAVE10"/>
    <x v="4"/>
    <x v="38"/>
    <m/>
  </r>
  <r>
    <s v="ORD200039"/>
    <x v="37"/>
    <s v="C96664"/>
    <x v="4"/>
    <n v="3"/>
    <n v="256.45999999999998"/>
    <s v="666 Main St"/>
    <x v="2"/>
    <x v="3"/>
    <s v="TRK85508960"/>
    <n v="4"/>
    <s v="SAVE10"/>
    <x v="1"/>
    <x v="39"/>
    <m/>
  </r>
  <r>
    <s v="ORD200040"/>
    <x v="38"/>
    <s v="C84766"/>
    <x v="6"/>
    <n v="2"/>
    <n v="344.02"/>
    <s v="267 Main St"/>
    <x v="1"/>
    <x v="3"/>
    <s v="TRK78967923"/>
    <n v="4"/>
    <s v="FREESHIP"/>
    <x v="0"/>
    <x v="40"/>
    <m/>
  </r>
  <r>
    <s v="ORD200041"/>
    <x v="39"/>
    <s v="C20212"/>
    <x v="0"/>
    <n v="3"/>
    <n v="611.45000000000005"/>
    <s v="657 Main St"/>
    <x v="3"/>
    <x v="4"/>
    <s v="TRK69733327"/>
    <n v="4"/>
    <s v="FREESHIP"/>
    <x v="0"/>
    <x v="41"/>
    <m/>
  </r>
  <r>
    <s v="ORD200042"/>
    <x v="40"/>
    <s v="C28712"/>
    <x v="4"/>
    <n v="2"/>
    <n v="151.66"/>
    <s v="980 Main St"/>
    <x v="4"/>
    <x v="1"/>
    <s v="TRK40772558"/>
    <n v="6"/>
    <s v="NO COUPON"/>
    <x v="0"/>
    <x v="42"/>
    <m/>
  </r>
  <r>
    <s v="ORD200043"/>
    <x v="41"/>
    <s v="C60572"/>
    <x v="3"/>
    <n v="3"/>
    <n v="499.21"/>
    <s v="871 Main St"/>
    <x v="1"/>
    <x v="1"/>
    <s v="TRK20351666"/>
    <n v="8"/>
    <s v="NO COUPON"/>
    <x v="0"/>
    <x v="43"/>
    <m/>
  </r>
  <r>
    <s v="ORD200044"/>
    <x v="42"/>
    <s v="C73225"/>
    <x v="1"/>
    <n v="2"/>
    <n v="550.17999999999995"/>
    <s v="996 Main St"/>
    <x v="3"/>
    <x v="2"/>
    <s v="TRK73848522"/>
    <n v="3"/>
    <s v="FREESHIP"/>
    <x v="1"/>
    <x v="44"/>
    <m/>
  </r>
  <r>
    <s v="ORD200045"/>
    <x v="43"/>
    <s v="C17388"/>
    <x v="3"/>
    <n v="1"/>
    <n v="317.25"/>
    <s v="157 Main St"/>
    <x v="0"/>
    <x v="2"/>
    <s v="TRK47077395"/>
    <n v="1"/>
    <s v="SAVE10"/>
    <x v="3"/>
    <x v="45"/>
    <m/>
  </r>
  <r>
    <s v="ORD200046"/>
    <x v="44"/>
    <s v="C43212"/>
    <x v="0"/>
    <n v="4"/>
    <n v="550.14"/>
    <s v="223 Main St"/>
    <x v="0"/>
    <x v="4"/>
    <s v="TRK25100762"/>
    <n v="4"/>
    <s v="FREESHIP"/>
    <x v="0"/>
    <x v="46"/>
    <m/>
  </r>
  <r>
    <s v="ORD200047"/>
    <x v="45"/>
    <s v="C38134"/>
    <x v="6"/>
    <n v="2"/>
    <n v="209.94"/>
    <s v="323 Main St"/>
    <x v="2"/>
    <x v="2"/>
    <s v="TRK42450754"/>
    <n v="3"/>
    <s v="FREESHIP"/>
    <x v="2"/>
    <x v="47"/>
    <m/>
  </r>
  <r>
    <s v="ORD200048"/>
    <x v="46"/>
    <s v="C12408"/>
    <x v="0"/>
    <n v="2"/>
    <n v="80.77"/>
    <s v="464 Main St"/>
    <x v="0"/>
    <x v="0"/>
    <s v="TRK38938858"/>
    <n v="4"/>
    <s v="NO COUPON"/>
    <x v="4"/>
    <x v="48"/>
    <m/>
  </r>
  <r>
    <s v="ORD200049"/>
    <x v="47"/>
    <s v="C11985"/>
    <x v="4"/>
    <n v="1"/>
    <n v="30.44"/>
    <s v="633 Main St"/>
    <x v="2"/>
    <x v="0"/>
    <s v="TRK53272402"/>
    <n v="1"/>
    <s v="SAVE10"/>
    <x v="2"/>
    <x v="49"/>
    <m/>
  </r>
  <r>
    <s v="ORD200050"/>
    <x v="48"/>
    <s v="C96494"/>
    <x v="2"/>
    <n v="1"/>
    <n v="179.22"/>
    <s v="446 Main St"/>
    <x v="1"/>
    <x v="1"/>
    <s v="TRK14675049"/>
    <n v="6"/>
    <s v="FREESHIP"/>
    <x v="0"/>
    <x v="50"/>
    <m/>
  </r>
  <r>
    <s v="ORD200051"/>
    <x v="49"/>
    <s v="C36778"/>
    <x v="2"/>
    <n v="1"/>
    <n v="388.33"/>
    <s v="434 Main St"/>
    <x v="4"/>
    <x v="2"/>
    <s v="TRK67610289"/>
    <n v="2"/>
    <s v="SAVE10"/>
    <x v="3"/>
    <x v="51"/>
    <m/>
  </r>
  <r>
    <s v="ORD200052"/>
    <x v="50"/>
    <s v="C30513"/>
    <x v="2"/>
    <n v="1"/>
    <n v="586.44000000000005"/>
    <s v="232 Main St"/>
    <x v="1"/>
    <x v="2"/>
    <s v="TRK64320429"/>
    <n v="5"/>
    <s v="SAVE10"/>
    <x v="3"/>
    <x v="52"/>
    <m/>
  </r>
  <r>
    <s v="ORD200053"/>
    <x v="51"/>
    <s v="C67551"/>
    <x v="1"/>
    <n v="4"/>
    <n v="488.78"/>
    <s v="512 Main St"/>
    <x v="1"/>
    <x v="2"/>
    <s v="TRK94992552"/>
    <n v="5"/>
    <s v="FREESHIP"/>
    <x v="4"/>
    <x v="53"/>
    <m/>
  </r>
  <r>
    <s v="ORD200054"/>
    <x v="52"/>
    <s v="C48120"/>
    <x v="3"/>
    <n v="1"/>
    <n v="280.25"/>
    <s v="623 Main St"/>
    <x v="1"/>
    <x v="4"/>
    <s v="TRK11014449"/>
    <n v="5"/>
    <s v="WINTER15"/>
    <x v="2"/>
    <x v="54"/>
    <m/>
  </r>
  <r>
    <s v="ORD200055"/>
    <x v="53"/>
    <s v="C95984"/>
    <x v="4"/>
    <n v="3"/>
    <n v="344.4"/>
    <s v="565 Main St"/>
    <x v="1"/>
    <x v="1"/>
    <s v="TRK67434829"/>
    <n v="3"/>
    <s v="NO COUPON"/>
    <x v="3"/>
    <x v="55"/>
    <m/>
  </r>
  <r>
    <s v="ORD200056"/>
    <x v="54"/>
    <s v="C54298"/>
    <x v="2"/>
    <n v="3"/>
    <n v="479.21"/>
    <s v="566 Main St"/>
    <x v="4"/>
    <x v="1"/>
    <s v="TRK62902341"/>
    <n v="5"/>
    <s v="WINTER15"/>
    <x v="1"/>
    <x v="56"/>
    <m/>
  </r>
  <r>
    <s v="ORD200057"/>
    <x v="55"/>
    <s v="C88036"/>
    <x v="4"/>
    <n v="5"/>
    <n v="314.27"/>
    <s v="842 Main St"/>
    <x v="4"/>
    <x v="2"/>
    <s v="TRK52470128"/>
    <n v="6"/>
    <s v="SAVE10"/>
    <x v="0"/>
    <x v="57"/>
    <m/>
  </r>
  <r>
    <s v="ORD200058"/>
    <x v="56"/>
    <s v="C60190"/>
    <x v="1"/>
    <n v="4"/>
    <n v="474.69"/>
    <s v="202 Main St"/>
    <x v="3"/>
    <x v="1"/>
    <s v="TRK70857868"/>
    <n v="6"/>
    <s v="SAVE10"/>
    <x v="4"/>
    <x v="58"/>
    <m/>
  </r>
  <r>
    <s v="ORD200059"/>
    <x v="57"/>
    <s v="C97603"/>
    <x v="3"/>
    <n v="4"/>
    <n v="593.27"/>
    <s v="811 Main St"/>
    <x v="1"/>
    <x v="0"/>
    <s v="TRK47055028"/>
    <n v="5"/>
    <s v="NO COUPON"/>
    <x v="3"/>
    <x v="59"/>
    <m/>
  </r>
  <r>
    <s v="ORD200060"/>
    <x v="58"/>
    <s v="C39256"/>
    <x v="6"/>
    <n v="1"/>
    <n v="417.1"/>
    <s v="634 Main St"/>
    <x v="0"/>
    <x v="2"/>
    <s v="TRK23412025"/>
    <n v="3"/>
    <s v="FREESHIP"/>
    <x v="1"/>
    <x v="60"/>
    <m/>
  </r>
  <r>
    <s v="ORD200061"/>
    <x v="59"/>
    <s v="C61618"/>
    <x v="6"/>
    <n v="4"/>
    <n v="122.2"/>
    <s v="104 Main St"/>
    <x v="4"/>
    <x v="3"/>
    <s v="TRK43458485"/>
    <n v="7"/>
    <s v="FREESHIP"/>
    <x v="3"/>
    <x v="61"/>
    <m/>
  </r>
  <r>
    <s v="ORD200062"/>
    <x v="60"/>
    <s v="C36497"/>
    <x v="6"/>
    <n v="2"/>
    <n v="43.15"/>
    <s v="691 Main St"/>
    <x v="0"/>
    <x v="4"/>
    <s v="TRK12102911"/>
    <n v="3"/>
    <s v="WINTER15"/>
    <x v="2"/>
    <x v="62"/>
    <m/>
  </r>
  <r>
    <s v="ORD200063"/>
    <x v="61"/>
    <s v="C96695"/>
    <x v="3"/>
    <n v="1"/>
    <n v="564.86"/>
    <s v="813 Main St"/>
    <x v="0"/>
    <x v="0"/>
    <s v="TRK64283851"/>
    <n v="6"/>
    <s v="WINTER15"/>
    <x v="1"/>
    <x v="63"/>
    <m/>
  </r>
  <r>
    <s v="ORD200064"/>
    <x v="62"/>
    <s v="C49720"/>
    <x v="4"/>
    <n v="3"/>
    <n v="130.61000000000001"/>
    <s v="752 Main St"/>
    <x v="0"/>
    <x v="1"/>
    <s v="TRK55785217"/>
    <n v="4"/>
    <s v="FREESHIP"/>
    <x v="3"/>
    <x v="64"/>
    <m/>
  </r>
  <r>
    <s v="ORD200065"/>
    <x v="63"/>
    <s v="C97735"/>
    <x v="0"/>
    <n v="5"/>
    <n v="81.7"/>
    <s v="385 Main St"/>
    <x v="2"/>
    <x v="3"/>
    <s v="TRK13743703"/>
    <n v="6"/>
    <s v="NO COUPON"/>
    <x v="0"/>
    <x v="65"/>
    <m/>
  </r>
  <r>
    <s v="ORD200066"/>
    <x v="64"/>
    <s v="C18104"/>
    <x v="3"/>
    <n v="5"/>
    <n v="127.18"/>
    <s v="715 Main St"/>
    <x v="4"/>
    <x v="1"/>
    <s v="TRK15488568"/>
    <n v="9"/>
    <s v="SAVE10"/>
    <x v="1"/>
    <x v="66"/>
    <m/>
  </r>
  <r>
    <s v="ORD200067"/>
    <x v="65"/>
    <s v="C25587"/>
    <x v="4"/>
    <n v="4"/>
    <n v="12.1"/>
    <s v="440 Main St"/>
    <x v="0"/>
    <x v="1"/>
    <s v="TRK55105323"/>
    <n v="8"/>
    <s v="NO COUPON"/>
    <x v="4"/>
    <x v="67"/>
    <m/>
  </r>
  <r>
    <s v="ORD200068"/>
    <x v="66"/>
    <s v="C41598"/>
    <x v="3"/>
    <n v="3"/>
    <n v="490.92"/>
    <s v="709 Main St"/>
    <x v="2"/>
    <x v="4"/>
    <s v="TRK81665940"/>
    <n v="5"/>
    <s v="FREESHIP"/>
    <x v="2"/>
    <x v="68"/>
    <m/>
  </r>
  <r>
    <s v="ORD200069"/>
    <x v="67"/>
    <s v="C43338"/>
    <x v="0"/>
    <n v="3"/>
    <n v="478.65"/>
    <s v="552 Main St"/>
    <x v="1"/>
    <x v="0"/>
    <s v="TRK35241775"/>
    <n v="4"/>
    <s v="NO COUPON"/>
    <x v="1"/>
    <x v="69"/>
    <m/>
  </r>
  <r>
    <s v="ORD200070"/>
    <x v="68"/>
    <s v="C25123"/>
    <x v="6"/>
    <n v="1"/>
    <n v="629.21"/>
    <s v="384 Main St"/>
    <x v="3"/>
    <x v="4"/>
    <s v="TRK27812282"/>
    <n v="2"/>
    <s v="FREESHIP"/>
    <x v="0"/>
    <x v="70"/>
    <m/>
  </r>
  <r>
    <s v="ORD200071"/>
    <x v="69"/>
    <s v="C37454"/>
    <x v="0"/>
    <n v="3"/>
    <n v="434.45"/>
    <s v="923 Main St"/>
    <x v="2"/>
    <x v="4"/>
    <s v="TRK28252730"/>
    <n v="4"/>
    <s v="NO COUPON"/>
    <x v="1"/>
    <x v="71"/>
    <m/>
  </r>
  <r>
    <s v="ORD200072"/>
    <x v="70"/>
    <s v="C19451"/>
    <x v="2"/>
    <n v="4"/>
    <n v="589.44000000000005"/>
    <s v="942 Main St"/>
    <x v="3"/>
    <x v="2"/>
    <s v="TRK87787793"/>
    <n v="5"/>
    <s v="NO COUPON"/>
    <x v="3"/>
    <x v="72"/>
    <m/>
  </r>
  <r>
    <s v="ORD200073"/>
    <x v="71"/>
    <s v="C17269"/>
    <x v="0"/>
    <n v="4"/>
    <n v="433.45"/>
    <s v="129 Main St"/>
    <x v="3"/>
    <x v="1"/>
    <s v="TRK79608389"/>
    <n v="4"/>
    <s v="NO COUPON"/>
    <x v="3"/>
    <x v="73"/>
    <m/>
  </r>
  <r>
    <s v="ORD200074"/>
    <x v="72"/>
    <s v="C25382"/>
    <x v="1"/>
    <n v="5"/>
    <n v="90.87"/>
    <s v="622 Main St"/>
    <x v="4"/>
    <x v="4"/>
    <s v="TRK64691287"/>
    <n v="5"/>
    <s v="NO COUPON"/>
    <x v="0"/>
    <x v="74"/>
    <m/>
  </r>
  <r>
    <s v="ORD200075"/>
    <x v="73"/>
    <s v="C80651"/>
    <x v="2"/>
    <n v="3"/>
    <n v="398.17"/>
    <s v="917 Main St"/>
    <x v="0"/>
    <x v="3"/>
    <s v="TRK14846720"/>
    <n v="5"/>
    <s v="SAVE10"/>
    <x v="2"/>
    <x v="75"/>
    <m/>
  </r>
  <r>
    <s v="ORD200076"/>
    <x v="74"/>
    <s v="C58638"/>
    <x v="5"/>
    <n v="4"/>
    <n v="382.88"/>
    <s v="239 Main St"/>
    <x v="4"/>
    <x v="1"/>
    <s v="TRK38224871"/>
    <n v="6"/>
    <s v="WINTER15"/>
    <x v="2"/>
    <x v="76"/>
    <m/>
  </r>
  <r>
    <s v="ORD200077"/>
    <x v="75"/>
    <s v="C50121"/>
    <x v="1"/>
    <n v="1"/>
    <n v="583.17999999999995"/>
    <s v="348 Main St"/>
    <x v="2"/>
    <x v="2"/>
    <s v="TRK79810059"/>
    <n v="5"/>
    <s v="NO COUPON"/>
    <x v="4"/>
    <x v="77"/>
    <m/>
  </r>
  <r>
    <s v="ORD200078"/>
    <x v="76"/>
    <s v="C32029"/>
    <x v="4"/>
    <n v="4"/>
    <n v="175.36"/>
    <s v="146 Main St"/>
    <x v="0"/>
    <x v="3"/>
    <s v="TRK68535532"/>
    <n v="4"/>
    <s v="FREESHIP"/>
    <x v="0"/>
    <x v="78"/>
    <m/>
  </r>
  <r>
    <s v="ORD200079"/>
    <x v="77"/>
    <s v="C76700"/>
    <x v="2"/>
    <n v="2"/>
    <n v="311.91000000000003"/>
    <s v="103 Main St"/>
    <x v="1"/>
    <x v="0"/>
    <s v="TRK13036341"/>
    <n v="2"/>
    <s v="NO COUPON"/>
    <x v="3"/>
    <x v="79"/>
    <m/>
  </r>
  <r>
    <s v="ORD200080"/>
    <x v="78"/>
    <s v="C29041"/>
    <x v="1"/>
    <n v="3"/>
    <n v="589.55999999999995"/>
    <s v="591 Main St"/>
    <x v="1"/>
    <x v="2"/>
    <s v="TRK28840655"/>
    <n v="6"/>
    <s v="NO COUPON"/>
    <x v="3"/>
    <x v="80"/>
    <m/>
  </r>
  <r>
    <s v="ORD200081"/>
    <x v="79"/>
    <s v="C29314"/>
    <x v="0"/>
    <n v="2"/>
    <n v="394.3"/>
    <s v="496 Main St"/>
    <x v="4"/>
    <x v="0"/>
    <s v="TRK59876213"/>
    <n v="6"/>
    <s v="FREESHIP"/>
    <x v="2"/>
    <x v="81"/>
    <m/>
  </r>
  <r>
    <s v="ORD200082"/>
    <x v="80"/>
    <s v="C65799"/>
    <x v="2"/>
    <n v="4"/>
    <n v="565.20000000000005"/>
    <s v="971 Main St"/>
    <x v="0"/>
    <x v="0"/>
    <s v="TRK66906607"/>
    <n v="9"/>
    <s v="SAVE10"/>
    <x v="4"/>
    <x v="82"/>
    <m/>
  </r>
  <r>
    <s v="ORD200083"/>
    <x v="60"/>
    <s v="C15681"/>
    <x v="5"/>
    <n v="4"/>
    <n v="540.41"/>
    <s v="989 Main St"/>
    <x v="2"/>
    <x v="1"/>
    <s v="TRK75112172"/>
    <n v="6"/>
    <s v="NO COUPON"/>
    <x v="1"/>
    <x v="83"/>
    <m/>
  </r>
  <r>
    <s v="ORD200084"/>
    <x v="81"/>
    <s v="C64160"/>
    <x v="0"/>
    <n v="2"/>
    <n v="165.49"/>
    <s v="967 Main St"/>
    <x v="1"/>
    <x v="0"/>
    <s v="TRK34121529"/>
    <n v="4"/>
    <s v="WINTER15"/>
    <x v="0"/>
    <x v="84"/>
    <m/>
  </r>
  <r>
    <s v="ORD200085"/>
    <x v="82"/>
    <s v="C14553"/>
    <x v="2"/>
    <n v="3"/>
    <n v="146.72999999999999"/>
    <s v="768 Main St"/>
    <x v="4"/>
    <x v="3"/>
    <s v="TRK93538334"/>
    <n v="8"/>
    <s v="FREESHIP"/>
    <x v="2"/>
    <x v="85"/>
    <m/>
  </r>
  <r>
    <s v="ORD200086"/>
    <x v="83"/>
    <s v="C88205"/>
    <x v="4"/>
    <n v="5"/>
    <n v="643.03"/>
    <s v="447 Main St"/>
    <x v="1"/>
    <x v="1"/>
    <s v="TRK93504166"/>
    <n v="5"/>
    <s v="FREESHIP"/>
    <x v="1"/>
    <x v="86"/>
    <m/>
  </r>
  <r>
    <s v="ORD200087"/>
    <x v="84"/>
    <s v="C91245"/>
    <x v="2"/>
    <n v="3"/>
    <n v="225.11"/>
    <s v="915 Main St"/>
    <x v="4"/>
    <x v="0"/>
    <s v="TRK46976391"/>
    <n v="4"/>
    <s v="SAVE10"/>
    <x v="3"/>
    <x v="87"/>
    <m/>
  </r>
  <r>
    <s v="ORD200088"/>
    <x v="85"/>
    <s v="C75439"/>
    <x v="6"/>
    <n v="3"/>
    <n v="114.81"/>
    <s v="318 Main St"/>
    <x v="3"/>
    <x v="1"/>
    <s v="TRK19831653"/>
    <n v="7"/>
    <s v="NO COUPON"/>
    <x v="4"/>
    <x v="88"/>
    <m/>
  </r>
  <r>
    <s v="ORD200089"/>
    <x v="86"/>
    <s v="C17181"/>
    <x v="4"/>
    <n v="5"/>
    <n v="455.33"/>
    <s v="291 Main St"/>
    <x v="2"/>
    <x v="1"/>
    <s v="TRK78912978"/>
    <n v="8"/>
    <s v="FREESHIP"/>
    <x v="4"/>
    <x v="89"/>
    <m/>
  </r>
  <r>
    <s v="ORD200090"/>
    <x v="87"/>
    <s v="C36540"/>
    <x v="3"/>
    <n v="4"/>
    <n v="182.08"/>
    <s v="611 Main St"/>
    <x v="3"/>
    <x v="3"/>
    <s v="TRK35828122"/>
    <n v="4"/>
    <s v="SAVE10"/>
    <x v="2"/>
    <x v="90"/>
    <m/>
  </r>
  <r>
    <s v="ORD200091"/>
    <x v="88"/>
    <s v="C98216"/>
    <x v="5"/>
    <n v="5"/>
    <n v="492.75"/>
    <s v="196 Main St"/>
    <x v="4"/>
    <x v="0"/>
    <s v="TRK40986666"/>
    <n v="6"/>
    <s v="WINTER15"/>
    <x v="1"/>
    <x v="91"/>
    <m/>
  </r>
  <r>
    <s v="ORD200092"/>
    <x v="89"/>
    <s v="C29568"/>
    <x v="4"/>
    <n v="4"/>
    <n v="48.61"/>
    <s v="203 Main St"/>
    <x v="1"/>
    <x v="0"/>
    <s v="TRK46531075"/>
    <n v="7"/>
    <s v="FREESHIP"/>
    <x v="3"/>
    <x v="92"/>
    <m/>
  </r>
  <r>
    <s v="ORD200093"/>
    <x v="90"/>
    <s v="C97262"/>
    <x v="6"/>
    <n v="4"/>
    <n v="431.01"/>
    <s v="837 Main St"/>
    <x v="2"/>
    <x v="2"/>
    <s v="TRK65990229"/>
    <n v="7"/>
    <s v="NO COUPON"/>
    <x v="1"/>
    <x v="93"/>
    <m/>
  </r>
  <r>
    <s v="ORD200094"/>
    <x v="91"/>
    <s v="C79821"/>
    <x v="3"/>
    <n v="1"/>
    <n v="531.17999999999995"/>
    <s v="781 Main St"/>
    <x v="3"/>
    <x v="2"/>
    <s v="TRK12780193"/>
    <n v="6"/>
    <s v="WINTER15"/>
    <x v="0"/>
    <x v="94"/>
    <m/>
  </r>
  <r>
    <s v="ORD200095"/>
    <x v="92"/>
    <s v="C76761"/>
    <x v="4"/>
    <n v="4"/>
    <n v="117.51"/>
    <s v="839 Main St"/>
    <x v="0"/>
    <x v="2"/>
    <s v="TRK60179774"/>
    <n v="7"/>
    <s v="NO COUPON"/>
    <x v="1"/>
    <x v="95"/>
    <m/>
  </r>
  <r>
    <s v="ORD200096"/>
    <x v="93"/>
    <s v="C93007"/>
    <x v="1"/>
    <n v="2"/>
    <n v="232.83"/>
    <s v="103 Main St"/>
    <x v="3"/>
    <x v="3"/>
    <s v="TRK85696091"/>
    <n v="7"/>
    <s v="NO COUPON"/>
    <x v="0"/>
    <x v="96"/>
    <m/>
  </r>
  <r>
    <s v="ORD200097"/>
    <x v="94"/>
    <s v="C15624"/>
    <x v="2"/>
    <n v="5"/>
    <n v="619.52"/>
    <s v="922 Main St"/>
    <x v="0"/>
    <x v="4"/>
    <s v="TRK40621141"/>
    <n v="9"/>
    <s v="NO COUPON"/>
    <x v="2"/>
    <x v="97"/>
    <m/>
  </r>
  <r>
    <s v="ORD200098"/>
    <x v="90"/>
    <s v="C70921"/>
    <x v="4"/>
    <n v="2"/>
    <n v="228.54"/>
    <s v="533 Main St"/>
    <x v="0"/>
    <x v="4"/>
    <s v="TRK54983109"/>
    <n v="3"/>
    <s v="NO COUPON"/>
    <x v="2"/>
    <x v="98"/>
    <m/>
  </r>
  <r>
    <s v="ORD200099"/>
    <x v="95"/>
    <s v="C30477"/>
    <x v="4"/>
    <n v="1"/>
    <n v="201.58"/>
    <s v="717 Main St"/>
    <x v="0"/>
    <x v="1"/>
    <s v="TRK51829648"/>
    <n v="2"/>
    <s v="WINTER15"/>
    <x v="2"/>
    <x v="99"/>
    <m/>
  </r>
  <r>
    <s v="ORD200100"/>
    <x v="96"/>
    <s v="C74866"/>
    <x v="1"/>
    <n v="3"/>
    <n v="664.79"/>
    <s v="743 Main St"/>
    <x v="1"/>
    <x v="3"/>
    <s v="TRK53783265"/>
    <n v="6"/>
    <s v="NO COUPON"/>
    <x v="3"/>
    <x v="100"/>
    <m/>
  </r>
  <r>
    <s v="ORD200101"/>
    <x v="97"/>
    <s v="C15283"/>
    <x v="4"/>
    <n v="1"/>
    <n v="381.02"/>
    <s v="152 Main St"/>
    <x v="4"/>
    <x v="0"/>
    <s v="TRK19286291"/>
    <n v="6"/>
    <s v="NO COUPON"/>
    <x v="4"/>
    <x v="101"/>
    <m/>
  </r>
  <r>
    <s v="ORD200102"/>
    <x v="98"/>
    <s v="C18037"/>
    <x v="5"/>
    <n v="2"/>
    <n v="70.34"/>
    <s v="944 Main St"/>
    <x v="3"/>
    <x v="1"/>
    <s v="TRK47362236"/>
    <n v="3"/>
    <s v="FREESHIP"/>
    <x v="2"/>
    <x v="102"/>
    <m/>
  </r>
  <r>
    <s v="ORD200103"/>
    <x v="99"/>
    <s v="C62656"/>
    <x v="1"/>
    <n v="4"/>
    <n v="218.43"/>
    <s v="514 Main St"/>
    <x v="2"/>
    <x v="1"/>
    <s v="TRK86296459"/>
    <n v="9"/>
    <s v="SAVE10"/>
    <x v="2"/>
    <x v="103"/>
    <m/>
  </r>
  <r>
    <s v="ORD200104"/>
    <x v="100"/>
    <s v="C65744"/>
    <x v="1"/>
    <n v="1"/>
    <n v="582.04"/>
    <s v="647 Main St"/>
    <x v="3"/>
    <x v="3"/>
    <s v="TRK39906058"/>
    <n v="1"/>
    <s v="FREESHIP"/>
    <x v="2"/>
    <x v="104"/>
    <m/>
  </r>
  <r>
    <s v="ORD200105"/>
    <x v="101"/>
    <s v="C72290"/>
    <x v="4"/>
    <n v="3"/>
    <n v="185.4"/>
    <s v="810 Main St"/>
    <x v="3"/>
    <x v="1"/>
    <s v="TRK68792129"/>
    <n v="7"/>
    <s v="NO COUPON"/>
    <x v="3"/>
    <x v="105"/>
    <m/>
  </r>
  <r>
    <s v="ORD200106"/>
    <x v="102"/>
    <s v="C73514"/>
    <x v="6"/>
    <n v="3"/>
    <n v="465.05"/>
    <s v="126 Main St"/>
    <x v="2"/>
    <x v="1"/>
    <s v="TRK96777924"/>
    <n v="3"/>
    <s v="SAVE10"/>
    <x v="2"/>
    <x v="106"/>
    <m/>
  </r>
  <r>
    <s v="ORD200107"/>
    <x v="14"/>
    <s v="C16775"/>
    <x v="4"/>
    <n v="5"/>
    <n v="670.75"/>
    <s v="848 Main St"/>
    <x v="3"/>
    <x v="0"/>
    <s v="TRK34392124"/>
    <n v="8"/>
    <s v="FREESHIP"/>
    <x v="0"/>
    <x v="107"/>
    <m/>
  </r>
  <r>
    <s v="ORD200108"/>
    <x v="103"/>
    <s v="C33099"/>
    <x v="5"/>
    <n v="5"/>
    <n v="48.38"/>
    <s v="522 Main St"/>
    <x v="3"/>
    <x v="3"/>
    <s v="TRK28522330"/>
    <n v="9"/>
    <s v="WINTER15"/>
    <x v="2"/>
    <x v="108"/>
    <m/>
  </r>
  <r>
    <s v="ORD200109"/>
    <x v="104"/>
    <s v="C51157"/>
    <x v="6"/>
    <n v="3"/>
    <n v="592.87"/>
    <s v="131 Main St"/>
    <x v="3"/>
    <x v="0"/>
    <s v="TRK18674578"/>
    <n v="3"/>
    <s v="FREESHIP"/>
    <x v="1"/>
    <x v="109"/>
    <m/>
  </r>
  <r>
    <s v="ORD200110"/>
    <x v="105"/>
    <s v="C74562"/>
    <x v="2"/>
    <n v="1"/>
    <n v="220.77"/>
    <s v="388 Main St"/>
    <x v="3"/>
    <x v="4"/>
    <s v="TRK32062079"/>
    <n v="5"/>
    <s v="FREESHIP"/>
    <x v="0"/>
    <x v="110"/>
    <m/>
  </r>
  <r>
    <s v="ORD200111"/>
    <x v="106"/>
    <s v="C95271"/>
    <x v="6"/>
    <n v="3"/>
    <n v="309.22000000000003"/>
    <s v="620 Main St"/>
    <x v="1"/>
    <x v="1"/>
    <s v="TRK74904969"/>
    <n v="7"/>
    <s v="FREESHIP"/>
    <x v="4"/>
    <x v="111"/>
    <m/>
  </r>
  <r>
    <s v="ORD200112"/>
    <x v="107"/>
    <s v="C81366"/>
    <x v="0"/>
    <n v="1"/>
    <n v="410.6"/>
    <s v="423 Main St"/>
    <x v="1"/>
    <x v="1"/>
    <s v="TRK17062206"/>
    <n v="2"/>
    <s v="WINTER15"/>
    <x v="1"/>
    <x v="112"/>
    <m/>
  </r>
  <r>
    <s v="ORD200113"/>
    <x v="108"/>
    <s v="C65905"/>
    <x v="5"/>
    <n v="5"/>
    <n v="190.08"/>
    <s v="605 Main St"/>
    <x v="4"/>
    <x v="0"/>
    <s v="TRK73954365"/>
    <n v="9"/>
    <s v="FREESHIP"/>
    <x v="0"/>
    <x v="113"/>
    <m/>
  </r>
  <r>
    <s v="ORD200114"/>
    <x v="109"/>
    <s v="C77272"/>
    <x v="0"/>
    <n v="5"/>
    <n v="498.48"/>
    <s v="115 Main St"/>
    <x v="1"/>
    <x v="4"/>
    <s v="TRK29708128"/>
    <n v="8"/>
    <s v="SAVE10"/>
    <x v="4"/>
    <x v="114"/>
    <m/>
  </r>
  <r>
    <s v="ORD200115"/>
    <x v="110"/>
    <s v="C32580"/>
    <x v="1"/>
    <n v="5"/>
    <n v="374.99"/>
    <s v="122 Main St"/>
    <x v="1"/>
    <x v="0"/>
    <s v="TRK23670394"/>
    <n v="9"/>
    <s v="SAVE10"/>
    <x v="3"/>
    <x v="115"/>
    <m/>
  </r>
  <r>
    <s v="ORD200116"/>
    <x v="111"/>
    <s v="C47761"/>
    <x v="4"/>
    <n v="4"/>
    <n v="291.35000000000002"/>
    <s v="109 Main St"/>
    <x v="2"/>
    <x v="1"/>
    <s v="TRK66669207"/>
    <n v="6"/>
    <s v="WINTER15"/>
    <x v="3"/>
    <x v="116"/>
    <m/>
  </r>
  <r>
    <s v="ORD200117"/>
    <x v="98"/>
    <s v="C49187"/>
    <x v="2"/>
    <n v="1"/>
    <n v="535.5"/>
    <s v="593 Main St"/>
    <x v="3"/>
    <x v="1"/>
    <s v="TRK81888598"/>
    <n v="5"/>
    <s v="WINTER15"/>
    <x v="1"/>
    <x v="117"/>
    <m/>
  </r>
  <r>
    <s v="ORD200118"/>
    <x v="112"/>
    <s v="C27898"/>
    <x v="4"/>
    <n v="5"/>
    <n v="502.71"/>
    <s v="807 Main St"/>
    <x v="3"/>
    <x v="0"/>
    <s v="TRK61957665"/>
    <n v="7"/>
    <s v="FREESHIP"/>
    <x v="4"/>
    <x v="118"/>
    <m/>
  </r>
  <r>
    <s v="ORD200119"/>
    <x v="113"/>
    <s v="C14683"/>
    <x v="6"/>
    <n v="2"/>
    <n v="534.66999999999996"/>
    <s v="187 Main St"/>
    <x v="0"/>
    <x v="0"/>
    <s v="TRK47373682"/>
    <n v="7"/>
    <s v="FREESHIP"/>
    <x v="1"/>
    <x v="119"/>
    <m/>
  </r>
  <r>
    <s v="ORD200120"/>
    <x v="114"/>
    <s v="C58108"/>
    <x v="2"/>
    <n v="4"/>
    <n v="629.34"/>
    <s v="986 Main St"/>
    <x v="4"/>
    <x v="1"/>
    <s v="TRK66218053"/>
    <n v="4"/>
    <s v="WINTER15"/>
    <x v="0"/>
    <x v="120"/>
    <m/>
  </r>
  <r>
    <s v="ORD200121"/>
    <x v="115"/>
    <s v="C89822"/>
    <x v="6"/>
    <n v="1"/>
    <n v="410.78"/>
    <s v="673 Main St"/>
    <x v="4"/>
    <x v="1"/>
    <s v="TRK24138598"/>
    <n v="1"/>
    <s v="FREESHIP"/>
    <x v="0"/>
    <x v="121"/>
    <m/>
  </r>
  <r>
    <s v="ORD200122"/>
    <x v="116"/>
    <s v="C96787"/>
    <x v="5"/>
    <n v="2"/>
    <n v="533.02"/>
    <s v="588 Main St"/>
    <x v="3"/>
    <x v="0"/>
    <s v="TRK30422853"/>
    <n v="2"/>
    <s v="NO COUPON"/>
    <x v="3"/>
    <x v="122"/>
    <m/>
  </r>
  <r>
    <s v="ORD200123"/>
    <x v="117"/>
    <s v="C86064"/>
    <x v="6"/>
    <n v="3"/>
    <n v="278.04000000000002"/>
    <s v="727 Main St"/>
    <x v="1"/>
    <x v="3"/>
    <s v="TRK62182901"/>
    <n v="5"/>
    <s v="NO COUPON"/>
    <x v="0"/>
    <x v="123"/>
    <m/>
  </r>
  <r>
    <s v="ORD200124"/>
    <x v="118"/>
    <s v="C97148"/>
    <x v="4"/>
    <n v="4"/>
    <n v="283.79000000000002"/>
    <s v="563 Main St"/>
    <x v="1"/>
    <x v="4"/>
    <s v="TRK85321126"/>
    <n v="8"/>
    <s v="NO COUPON"/>
    <x v="4"/>
    <x v="124"/>
    <m/>
  </r>
  <r>
    <s v="ORD200125"/>
    <x v="119"/>
    <s v="C91099"/>
    <x v="1"/>
    <n v="2"/>
    <n v="512.65"/>
    <s v="758 Main St"/>
    <x v="2"/>
    <x v="0"/>
    <s v="TRK81846174"/>
    <n v="5"/>
    <s v="SAVE10"/>
    <x v="2"/>
    <x v="125"/>
    <m/>
  </r>
  <r>
    <s v="ORD200126"/>
    <x v="120"/>
    <s v="C55606"/>
    <x v="6"/>
    <n v="4"/>
    <n v="275.5"/>
    <s v="353 Main St"/>
    <x v="3"/>
    <x v="0"/>
    <s v="TRK68250319"/>
    <n v="8"/>
    <s v="FREESHIP"/>
    <x v="4"/>
    <x v="126"/>
    <m/>
  </r>
  <r>
    <s v="ORD200127"/>
    <x v="121"/>
    <s v="C71486"/>
    <x v="6"/>
    <n v="3"/>
    <n v="469.32"/>
    <s v="365 Main St"/>
    <x v="0"/>
    <x v="0"/>
    <s v="TRK73929833"/>
    <n v="3"/>
    <s v="NO COUPON"/>
    <x v="4"/>
    <x v="127"/>
    <m/>
  </r>
  <r>
    <s v="ORD200128"/>
    <x v="96"/>
    <s v="C86408"/>
    <x v="2"/>
    <n v="4"/>
    <n v="21.07"/>
    <s v="244 Main St"/>
    <x v="3"/>
    <x v="3"/>
    <s v="TRK41432648"/>
    <n v="4"/>
    <s v="FREESHIP"/>
    <x v="4"/>
    <x v="128"/>
    <m/>
  </r>
  <r>
    <s v="ORD200129"/>
    <x v="122"/>
    <s v="C52751"/>
    <x v="5"/>
    <n v="4"/>
    <n v="263.93"/>
    <s v="427 Main St"/>
    <x v="0"/>
    <x v="0"/>
    <s v="TRK72481234"/>
    <n v="4"/>
    <s v="FREESHIP"/>
    <x v="3"/>
    <x v="129"/>
    <m/>
  </r>
  <r>
    <s v="ORD200130"/>
    <x v="123"/>
    <s v="C29059"/>
    <x v="6"/>
    <n v="3"/>
    <n v="501.3"/>
    <s v="513 Main St"/>
    <x v="1"/>
    <x v="1"/>
    <s v="TRK88360704"/>
    <n v="3"/>
    <s v="WINTER15"/>
    <x v="3"/>
    <x v="130"/>
    <m/>
  </r>
  <r>
    <s v="ORD200131"/>
    <x v="124"/>
    <s v="C72862"/>
    <x v="2"/>
    <n v="1"/>
    <n v="84.8"/>
    <s v="606 Main St"/>
    <x v="3"/>
    <x v="4"/>
    <s v="TRK51648833"/>
    <n v="5"/>
    <s v="NO COUPON"/>
    <x v="0"/>
    <x v="131"/>
    <m/>
  </r>
  <r>
    <s v="ORD200132"/>
    <x v="125"/>
    <s v="C96257"/>
    <x v="2"/>
    <n v="4"/>
    <n v="450.75"/>
    <s v="583 Main St"/>
    <x v="2"/>
    <x v="0"/>
    <s v="TRK13137948"/>
    <n v="6"/>
    <s v="WINTER15"/>
    <x v="2"/>
    <x v="132"/>
    <m/>
  </r>
  <r>
    <s v="ORD200133"/>
    <x v="126"/>
    <s v="C87432"/>
    <x v="3"/>
    <n v="4"/>
    <n v="302.05"/>
    <s v="636 Main St"/>
    <x v="0"/>
    <x v="1"/>
    <s v="TRK68969625"/>
    <n v="6"/>
    <s v="SAVE10"/>
    <x v="4"/>
    <x v="133"/>
    <m/>
  </r>
  <r>
    <s v="ORD200134"/>
    <x v="127"/>
    <s v="C16253"/>
    <x v="5"/>
    <n v="2"/>
    <n v="199.7"/>
    <s v="583 Main St"/>
    <x v="4"/>
    <x v="4"/>
    <s v="TRK17354894"/>
    <n v="4"/>
    <s v="NO COUPON"/>
    <x v="2"/>
    <x v="134"/>
    <m/>
  </r>
  <r>
    <s v="ORD200135"/>
    <x v="128"/>
    <s v="C79909"/>
    <x v="4"/>
    <n v="2"/>
    <n v="68.81"/>
    <s v="642 Main St"/>
    <x v="3"/>
    <x v="0"/>
    <s v="TRK86742257"/>
    <n v="5"/>
    <s v="SAVE10"/>
    <x v="1"/>
    <x v="135"/>
    <m/>
  </r>
  <r>
    <s v="ORD200136"/>
    <x v="129"/>
    <s v="C73370"/>
    <x v="5"/>
    <n v="1"/>
    <n v="44.35"/>
    <s v="595 Main St"/>
    <x v="3"/>
    <x v="1"/>
    <s v="TRK67820278"/>
    <n v="1"/>
    <s v="SAVE10"/>
    <x v="0"/>
    <x v="136"/>
    <m/>
  </r>
  <r>
    <s v="ORD200137"/>
    <x v="130"/>
    <s v="C50682"/>
    <x v="0"/>
    <n v="2"/>
    <n v="250.98"/>
    <s v="598 Main St"/>
    <x v="2"/>
    <x v="3"/>
    <s v="TRK12242337"/>
    <n v="5"/>
    <s v="NO COUPON"/>
    <x v="4"/>
    <x v="137"/>
    <m/>
  </r>
  <r>
    <s v="ORD200138"/>
    <x v="131"/>
    <s v="C21905"/>
    <x v="2"/>
    <n v="1"/>
    <n v="298.06"/>
    <s v="478 Main St"/>
    <x v="0"/>
    <x v="4"/>
    <s v="TRK31863841"/>
    <n v="3"/>
    <s v="WINTER15"/>
    <x v="4"/>
    <x v="138"/>
    <m/>
  </r>
  <r>
    <s v="ORD200139"/>
    <x v="132"/>
    <s v="C61440"/>
    <x v="1"/>
    <n v="1"/>
    <n v="583.9"/>
    <s v="714 Main St"/>
    <x v="4"/>
    <x v="2"/>
    <s v="TRK33114521"/>
    <n v="1"/>
    <s v="NO COUPON"/>
    <x v="2"/>
    <x v="139"/>
    <m/>
  </r>
  <r>
    <s v="ORD200140"/>
    <x v="133"/>
    <s v="C33110"/>
    <x v="3"/>
    <n v="3"/>
    <n v="528.14"/>
    <s v="388 Main St"/>
    <x v="1"/>
    <x v="3"/>
    <s v="TRK38624225"/>
    <n v="3"/>
    <s v="FREESHIP"/>
    <x v="2"/>
    <x v="140"/>
    <m/>
  </r>
  <r>
    <s v="ORD200141"/>
    <x v="134"/>
    <s v="C80004"/>
    <x v="4"/>
    <n v="3"/>
    <n v="684.14"/>
    <s v="151 Main St"/>
    <x v="4"/>
    <x v="1"/>
    <s v="TRK66230753"/>
    <n v="3"/>
    <s v="WINTER15"/>
    <x v="0"/>
    <x v="141"/>
    <m/>
  </r>
  <r>
    <s v="ORD200142"/>
    <x v="135"/>
    <s v="C86374"/>
    <x v="6"/>
    <n v="5"/>
    <n v="272.77"/>
    <s v="573 Main St"/>
    <x v="4"/>
    <x v="4"/>
    <s v="TRK79451491"/>
    <n v="7"/>
    <s v="WINTER15"/>
    <x v="2"/>
    <x v="142"/>
    <m/>
  </r>
  <r>
    <s v="ORD200143"/>
    <x v="136"/>
    <s v="C66521"/>
    <x v="3"/>
    <n v="4"/>
    <n v="400.07"/>
    <s v="933 Main St"/>
    <x v="1"/>
    <x v="0"/>
    <s v="TRK34654244"/>
    <n v="5"/>
    <s v="NO COUPON"/>
    <x v="1"/>
    <x v="143"/>
    <m/>
  </r>
  <r>
    <s v="ORD200144"/>
    <x v="128"/>
    <s v="C63365"/>
    <x v="6"/>
    <n v="5"/>
    <n v="219.78"/>
    <s v="895 Main St"/>
    <x v="2"/>
    <x v="4"/>
    <s v="TRK80100887"/>
    <n v="8"/>
    <s v="NO COUPON"/>
    <x v="3"/>
    <x v="144"/>
    <m/>
  </r>
  <r>
    <s v="ORD200145"/>
    <x v="17"/>
    <s v="C85929"/>
    <x v="4"/>
    <n v="3"/>
    <n v="146.91"/>
    <s v="798 Main St"/>
    <x v="2"/>
    <x v="3"/>
    <s v="TRK29318610"/>
    <n v="6"/>
    <s v="FREESHIP"/>
    <x v="4"/>
    <x v="145"/>
    <m/>
  </r>
  <r>
    <s v="ORD200146"/>
    <x v="137"/>
    <s v="C84645"/>
    <x v="2"/>
    <n v="2"/>
    <n v="411.49"/>
    <s v="404 Main St"/>
    <x v="2"/>
    <x v="2"/>
    <s v="TRK68893369"/>
    <n v="4"/>
    <s v="NO COUPON"/>
    <x v="0"/>
    <x v="146"/>
    <m/>
  </r>
  <r>
    <s v="ORD200147"/>
    <x v="138"/>
    <s v="C46316"/>
    <x v="5"/>
    <n v="2"/>
    <n v="465.18"/>
    <s v="893 Main St"/>
    <x v="2"/>
    <x v="1"/>
    <s v="TRK16196000"/>
    <n v="2"/>
    <s v="SAVE10"/>
    <x v="4"/>
    <x v="147"/>
    <m/>
  </r>
  <r>
    <s v="ORD200148"/>
    <x v="139"/>
    <s v="C35100"/>
    <x v="1"/>
    <n v="2"/>
    <n v="319.91000000000003"/>
    <s v="139 Main St"/>
    <x v="2"/>
    <x v="1"/>
    <s v="TRK56853491"/>
    <n v="3"/>
    <s v="WINTER15"/>
    <x v="4"/>
    <x v="148"/>
    <m/>
  </r>
  <r>
    <s v="ORD200149"/>
    <x v="140"/>
    <s v="C39671"/>
    <x v="5"/>
    <n v="1"/>
    <n v="217.56"/>
    <s v="174 Main St"/>
    <x v="0"/>
    <x v="3"/>
    <s v="TRK47153818"/>
    <n v="3"/>
    <s v="NO COUPON"/>
    <x v="3"/>
    <x v="149"/>
    <m/>
  </r>
  <r>
    <s v="ORD200150"/>
    <x v="141"/>
    <s v="C25503"/>
    <x v="1"/>
    <n v="2"/>
    <n v="105.57"/>
    <s v="981 Main St"/>
    <x v="0"/>
    <x v="2"/>
    <s v="TRK29878837"/>
    <n v="5"/>
    <s v="WINTER15"/>
    <x v="4"/>
    <x v="150"/>
    <m/>
  </r>
  <r>
    <s v="ORD200151"/>
    <x v="142"/>
    <s v="C32960"/>
    <x v="4"/>
    <n v="5"/>
    <n v="444.76"/>
    <s v="947 Main St"/>
    <x v="0"/>
    <x v="2"/>
    <s v="TRK91226500"/>
    <n v="7"/>
    <s v="NO COUPON"/>
    <x v="2"/>
    <x v="151"/>
    <m/>
  </r>
  <r>
    <s v="ORD200152"/>
    <x v="143"/>
    <s v="C77736"/>
    <x v="3"/>
    <n v="2"/>
    <n v="399.04"/>
    <s v="659 Main St"/>
    <x v="4"/>
    <x v="1"/>
    <s v="TRK90329250"/>
    <n v="3"/>
    <s v="FREESHIP"/>
    <x v="1"/>
    <x v="152"/>
    <m/>
  </r>
  <r>
    <s v="ORD200153"/>
    <x v="144"/>
    <s v="C71570"/>
    <x v="3"/>
    <n v="4"/>
    <n v="534.48"/>
    <s v="437 Main St"/>
    <x v="1"/>
    <x v="2"/>
    <s v="TRK95992269"/>
    <n v="9"/>
    <s v="WINTER15"/>
    <x v="0"/>
    <x v="153"/>
    <m/>
  </r>
  <r>
    <s v="ORD200154"/>
    <x v="145"/>
    <s v="C73587"/>
    <x v="1"/>
    <n v="4"/>
    <n v="408.21"/>
    <s v="727 Main St"/>
    <x v="2"/>
    <x v="4"/>
    <s v="TRK13955543"/>
    <n v="9"/>
    <s v="NO COUPON"/>
    <x v="0"/>
    <x v="154"/>
    <m/>
  </r>
  <r>
    <s v="ORD200155"/>
    <x v="146"/>
    <s v="C62740"/>
    <x v="1"/>
    <n v="1"/>
    <n v="424.4"/>
    <s v="446 Main St"/>
    <x v="1"/>
    <x v="0"/>
    <s v="TRK20706408"/>
    <n v="6"/>
    <s v="WINTER15"/>
    <x v="1"/>
    <x v="155"/>
    <m/>
  </r>
  <r>
    <s v="ORD200156"/>
    <x v="147"/>
    <s v="C58808"/>
    <x v="3"/>
    <n v="2"/>
    <n v="269.83"/>
    <s v="651 Main St"/>
    <x v="1"/>
    <x v="3"/>
    <s v="TRK24451893"/>
    <n v="4"/>
    <s v="SAVE10"/>
    <x v="2"/>
    <x v="156"/>
    <m/>
  </r>
  <r>
    <s v="ORD200157"/>
    <x v="148"/>
    <s v="C50422"/>
    <x v="0"/>
    <n v="2"/>
    <n v="564.58000000000004"/>
    <s v="636 Main St"/>
    <x v="1"/>
    <x v="2"/>
    <s v="TRK71227815"/>
    <n v="4"/>
    <s v="WINTER15"/>
    <x v="3"/>
    <x v="157"/>
    <m/>
  </r>
  <r>
    <s v="ORD200158"/>
    <x v="149"/>
    <s v="C23334"/>
    <x v="2"/>
    <n v="1"/>
    <n v="331.06"/>
    <s v="737 Main St"/>
    <x v="2"/>
    <x v="4"/>
    <s v="TRK46335144"/>
    <n v="5"/>
    <s v="WINTER15"/>
    <x v="0"/>
    <x v="158"/>
    <m/>
  </r>
  <r>
    <s v="ORD200159"/>
    <x v="150"/>
    <s v="C48965"/>
    <x v="4"/>
    <n v="1"/>
    <n v="299.35000000000002"/>
    <s v="819 Main St"/>
    <x v="2"/>
    <x v="1"/>
    <s v="TRK50921780"/>
    <n v="5"/>
    <s v="WINTER15"/>
    <x v="2"/>
    <x v="159"/>
    <m/>
  </r>
  <r>
    <s v="ORD200160"/>
    <x v="96"/>
    <s v="C38669"/>
    <x v="0"/>
    <n v="4"/>
    <n v="101.32"/>
    <s v="240 Main St"/>
    <x v="4"/>
    <x v="4"/>
    <s v="TRK81738254"/>
    <n v="7"/>
    <s v="NO COUPON"/>
    <x v="1"/>
    <x v="160"/>
    <m/>
  </r>
  <r>
    <s v="ORD200161"/>
    <x v="151"/>
    <s v="C35091"/>
    <x v="0"/>
    <n v="1"/>
    <n v="211.14"/>
    <s v="513 Main St"/>
    <x v="2"/>
    <x v="1"/>
    <s v="TRK53784452"/>
    <n v="1"/>
    <s v="SAVE10"/>
    <x v="3"/>
    <x v="150"/>
    <m/>
  </r>
  <r>
    <s v="ORD200162"/>
    <x v="152"/>
    <s v="C82313"/>
    <x v="3"/>
    <n v="3"/>
    <n v="65.86"/>
    <s v="917 Main St"/>
    <x v="1"/>
    <x v="4"/>
    <s v="TRK79854624"/>
    <n v="8"/>
    <s v="WINTER15"/>
    <x v="4"/>
    <x v="161"/>
    <m/>
  </r>
  <r>
    <s v="ORD200163"/>
    <x v="53"/>
    <s v="C99589"/>
    <x v="2"/>
    <n v="1"/>
    <n v="641.39"/>
    <s v="277 Main St"/>
    <x v="1"/>
    <x v="1"/>
    <s v="TRK16695001"/>
    <n v="1"/>
    <s v="NO COUPON"/>
    <x v="1"/>
    <x v="162"/>
    <m/>
  </r>
  <r>
    <s v="ORD200164"/>
    <x v="153"/>
    <s v="C70566"/>
    <x v="6"/>
    <n v="5"/>
    <n v="536.58000000000004"/>
    <s v="667 Main St"/>
    <x v="3"/>
    <x v="4"/>
    <s v="TRK49673411"/>
    <n v="5"/>
    <s v="SAVE10"/>
    <x v="4"/>
    <x v="163"/>
    <m/>
  </r>
  <r>
    <s v="ORD200165"/>
    <x v="154"/>
    <s v="C60355"/>
    <x v="0"/>
    <n v="2"/>
    <n v="500.29"/>
    <s v="226 Main St"/>
    <x v="1"/>
    <x v="2"/>
    <s v="TRK30155194"/>
    <n v="7"/>
    <s v="WINTER15"/>
    <x v="4"/>
    <x v="164"/>
    <m/>
  </r>
  <r>
    <s v="ORD200166"/>
    <x v="155"/>
    <s v="C28889"/>
    <x v="3"/>
    <n v="3"/>
    <n v="86.29"/>
    <s v="565 Main St"/>
    <x v="4"/>
    <x v="3"/>
    <s v="TRK23791726"/>
    <n v="6"/>
    <s v="WINTER15"/>
    <x v="0"/>
    <x v="165"/>
    <m/>
  </r>
  <r>
    <s v="ORD200167"/>
    <x v="156"/>
    <s v="C88304"/>
    <x v="3"/>
    <n v="2"/>
    <n v="384.14"/>
    <s v="219 Main St"/>
    <x v="1"/>
    <x v="2"/>
    <s v="TRK44268941"/>
    <n v="2"/>
    <s v="WINTER15"/>
    <x v="2"/>
    <x v="166"/>
    <m/>
  </r>
  <r>
    <s v="ORD200168"/>
    <x v="157"/>
    <s v="C49517"/>
    <x v="4"/>
    <n v="1"/>
    <n v="594.96"/>
    <s v="878 Main St"/>
    <x v="4"/>
    <x v="2"/>
    <s v="TRK78551375"/>
    <n v="6"/>
    <s v="NO COUPON"/>
    <x v="3"/>
    <x v="167"/>
    <m/>
  </r>
  <r>
    <s v="ORD200169"/>
    <x v="158"/>
    <s v="C35785"/>
    <x v="4"/>
    <n v="1"/>
    <n v="427.82"/>
    <s v="732 Main St"/>
    <x v="1"/>
    <x v="3"/>
    <s v="TRK78923089"/>
    <n v="2"/>
    <s v="WINTER15"/>
    <x v="2"/>
    <x v="168"/>
    <m/>
  </r>
  <r>
    <s v="ORD200170"/>
    <x v="159"/>
    <s v="C80223"/>
    <x v="6"/>
    <n v="4"/>
    <n v="662.94"/>
    <s v="535 Main St"/>
    <x v="4"/>
    <x v="1"/>
    <s v="TRK68632951"/>
    <n v="8"/>
    <s v="SAVE10"/>
    <x v="0"/>
    <x v="169"/>
    <m/>
  </r>
  <r>
    <s v="ORD200171"/>
    <x v="160"/>
    <s v="C20448"/>
    <x v="2"/>
    <n v="2"/>
    <n v="148.22"/>
    <s v="336 Main St"/>
    <x v="2"/>
    <x v="3"/>
    <s v="TRK67379895"/>
    <n v="7"/>
    <s v="WINTER15"/>
    <x v="0"/>
    <x v="170"/>
    <m/>
  </r>
  <r>
    <s v="ORD200172"/>
    <x v="161"/>
    <s v="C34134"/>
    <x v="4"/>
    <n v="1"/>
    <n v="254.12"/>
    <s v="365 Main St"/>
    <x v="1"/>
    <x v="3"/>
    <s v="TRK43074303"/>
    <n v="1"/>
    <s v="WINTER15"/>
    <x v="2"/>
    <x v="171"/>
    <m/>
  </r>
  <r>
    <s v="ORD200173"/>
    <x v="59"/>
    <s v="C95901"/>
    <x v="1"/>
    <n v="3"/>
    <n v="664.46"/>
    <s v="806 Main St"/>
    <x v="1"/>
    <x v="3"/>
    <s v="TRK56989066"/>
    <n v="4"/>
    <s v="FREESHIP"/>
    <x v="4"/>
    <x v="172"/>
    <m/>
  </r>
  <r>
    <s v="ORD200174"/>
    <x v="162"/>
    <s v="C51145"/>
    <x v="4"/>
    <n v="4"/>
    <n v="600.80999999999995"/>
    <s v="790 Main St"/>
    <x v="0"/>
    <x v="3"/>
    <s v="TRK59154274"/>
    <n v="9"/>
    <s v="SAVE10"/>
    <x v="2"/>
    <x v="173"/>
    <m/>
  </r>
  <r>
    <s v="ORD200175"/>
    <x v="163"/>
    <s v="C78170"/>
    <x v="3"/>
    <n v="5"/>
    <n v="68.34"/>
    <s v="332 Main St"/>
    <x v="0"/>
    <x v="4"/>
    <s v="TRK71410605"/>
    <n v="6"/>
    <s v="WINTER15"/>
    <x v="1"/>
    <x v="174"/>
    <m/>
  </r>
  <r>
    <s v="ORD200176"/>
    <x v="164"/>
    <s v="C80151"/>
    <x v="2"/>
    <n v="4"/>
    <n v="430.83"/>
    <s v="553 Main St"/>
    <x v="3"/>
    <x v="4"/>
    <s v="TRK88251529"/>
    <n v="8"/>
    <s v="WINTER15"/>
    <x v="1"/>
    <x v="175"/>
    <m/>
  </r>
  <r>
    <s v="ORD200177"/>
    <x v="165"/>
    <s v="C55632"/>
    <x v="3"/>
    <n v="5"/>
    <n v="431.69"/>
    <s v="354 Main St"/>
    <x v="2"/>
    <x v="4"/>
    <s v="TRK13003066"/>
    <n v="10"/>
    <s v="NO COUPON"/>
    <x v="3"/>
    <x v="176"/>
    <m/>
  </r>
  <r>
    <s v="ORD200178"/>
    <x v="166"/>
    <s v="C53070"/>
    <x v="3"/>
    <n v="4"/>
    <n v="512.05999999999995"/>
    <s v="283 Main St"/>
    <x v="1"/>
    <x v="3"/>
    <s v="TRK49791755"/>
    <n v="5"/>
    <s v="SAVE10"/>
    <x v="4"/>
    <x v="177"/>
    <m/>
  </r>
  <r>
    <s v="ORD200179"/>
    <x v="167"/>
    <s v="C27401"/>
    <x v="5"/>
    <n v="3"/>
    <n v="539.91"/>
    <s v="500 Main St"/>
    <x v="2"/>
    <x v="3"/>
    <s v="TRK14332053"/>
    <n v="8"/>
    <s v="NO COUPON"/>
    <x v="2"/>
    <x v="178"/>
    <m/>
  </r>
  <r>
    <s v="ORD200180"/>
    <x v="168"/>
    <s v="C87216"/>
    <x v="2"/>
    <n v="5"/>
    <n v="316.07"/>
    <s v="970 Main St"/>
    <x v="4"/>
    <x v="2"/>
    <s v="TRK18713727"/>
    <n v="10"/>
    <s v="NO COUPON"/>
    <x v="4"/>
    <x v="179"/>
    <m/>
  </r>
  <r>
    <s v="ORD200181"/>
    <x v="169"/>
    <s v="C38966"/>
    <x v="4"/>
    <n v="5"/>
    <n v="404.39"/>
    <s v="247 Main St"/>
    <x v="1"/>
    <x v="0"/>
    <s v="TRK17205146"/>
    <n v="10"/>
    <s v="NO COUPON"/>
    <x v="1"/>
    <x v="180"/>
    <m/>
  </r>
  <r>
    <s v="ORD200182"/>
    <x v="170"/>
    <s v="C16612"/>
    <x v="6"/>
    <n v="1"/>
    <n v="600.54"/>
    <s v="596 Main St"/>
    <x v="0"/>
    <x v="4"/>
    <s v="TRK96188223"/>
    <n v="4"/>
    <s v="WINTER15"/>
    <x v="4"/>
    <x v="181"/>
    <m/>
  </r>
  <r>
    <s v="ORD200183"/>
    <x v="171"/>
    <s v="C39246"/>
    <x v="0"/>
    <n v="5"/>
    <n v="186.28"/>
    <s v="258 Main St"/>
    <x v="0"/>
    <x v="3"/>
    <s v="TRK16658182"/>
    <n v="8"/>
    <s v="SAVE10"/>
    <x v="2"/>
    <x v="182"/>
    <m/>
  </r>
  <r>
    <s v="ORD200184"/>
    <x v="172"/>
    <s v="C65180"/>
    <x v="2"/>
    <n v="4"/>
    <n v="214.54"/>
    <s v="231 Main St"/>
    <x v="3"/>
    <x v="1"/>
    <s v="TRK39255469"/>
    <n v="7"/>
    <s v="NO COUPON"/>
    <x v="1"/>
    <x v="183"/>
    <m/>
  </r>
  <r>
    <s v="ORD200185"/>
    <x v="61"/>
    <s v="C46877"/>
    <x v="5"/>
    <n v="1"/>
    <n v="210.7"/>
    <s v="572 Main St"/>
    <x v="1"/>
    <x v="0"/>
    <s v="TRK96935978"/>
    <n v="2"/>
    <s v="WINTER15"/>
    <x v="1"/>
    <x v="184"/>
    <m/>
  </r>
  <r>
    <s v="ORD200186"/>
    <x v="173"/>
    <s v="C30334"/>
    <x v="1"/>
    <n v="2"/>
    <n v="133.55000000000001"/>
    <s v="322 Main St"/>
    <x v="4"/>
    <x v="4"/>
    <s v="TRK66388885"/>
    <n v="7"/>
    <s v="FREESHIP"/>
    <x v="3"/>
    <x v="185"/>
    <m/>
  </r>
  <r>
    <s v="ORD200187"/>
    <x v="174"/>
    <s v="C21227"/>
    <x v="3"/>
    <n v="1"/>
    <n v="590.87"/>
    <s v="689 Main St"/>
    <x v="3"/>
    <x v="2"/>
    <s v="TRK79129657"/>
    <n v="6"/>
    <s v="FREESHIP"/>
    <x v="1"/>
    <x v="186"/>
    <m/>
  </r>
  <r>
    <s v="ORD200188"/>
    <x v="175"/>
    <s v="C97715"/>
    <x v="3"/>
    <n v="2"/>
    <n v="363.91"/>
    <s v="927 Main St"/>
    <x v="3"/>
    <x v="0"/>
    <s v="TRK19515949"/>
    <n v="2"/>
    <s v="FREESHIP"/>
    <x v="1"/>
    <x v="187"/>
    <m/>
  </r>
  <r>
    <s v="ORD200189"/>
    <x v="176"/>
    <s v="C48939"/>
    <x v="4"/>
    <n v="5"/>
    <n v="429.45"/>
    <s v="597 Main St"/>
    <x v="3"/>
    <x v="1"/>
    <s v="TRK62786764"/>
    <n v="5"/>
    <s v="WINTER15"/>
    <x v="2"/>
    <x v="188"/>
    <m/>
  </r>
  <r>
    <s v="ORD200190"/>
    <x v="169"/>
    <s v="C35483"/>
    <x v="4"/>
    <n v="3"/>
    <n v="223.7"/>
    <s v="725 Main St"/>
    <x v="4"/>
    <x v="2"/>
    <s v="TRK79638203"/>
    <n v="3"/>
    <s v="SAVE10"/>
    <x v="2"/>
    <x v="189"/>
    <m/>
  </r>
  <r>
    <s v="ORD200191"/>
    <x v="177"/>
    <s v="C51494"/>
    <x v="5"/>
    <n v="2"/>
    <n v="488.87"/>
    <s v="505 Main St"/>
    <x v="1"/>
    <x v="1"/>
    <s v="TRK58520306"/>
    <n v="4"/>
    <s v="FREESHIP"/>
    <x v="4"/>
    <x v="190"/>
    <m/>
  </r>
  <r>
    <s v="ORD200192"/>
    <x v="178"/>
    <s v="C58410"/>
    <x v="6"/>
    <n v="1"/>
    <n v="645.46"/>
    <s v="151 Main St"/>
    <x v="3"/>
    <x v="1"/>
    <s v="TRK19749672"/>
    <n v="5"/>
    <s v="SAVE10"/>
    <x v="4"/>
    <x v="191"/>
    <m/>
  </r>
  <r>
    <s v="ORD200193"/>
    <x v="179"/>
    <s v="C11644"/>
    <x v="4"/>
    <n v="1"/>
    <n v="46.66"/>
    <s v="429 Main St"/>
    <x v="4"/>
    <x v="1"/>
    <s v="TRK81320339"/>
    <n v="6"/>
    <s v="NO COUPON"/>
    <x v="4"/>
    <x v="192"/>
    <m/>
  </r>
  <r>
    <s v="ORD200194"/>
    <x v="180"/>
    <s v="C53501"/>
    <x v="0"/>
    <n v="1"/>
    <n v="249.57"/>
    <s v="899 Main St"/>
    <x v="4"/>
    <x v="0"/>
    <s v="TRK90144892"/>
    <n v="3"/>
    <s v="FREESHIP"/>
    <x v="4"/>
    <x v="193"/>
    <m/>
  </r>
  <r>
    <s v="ORD200195"/>
    <x v="181"/>
    <s v="C63619"/>
    <x v="3"/>
    <n v="3"/>
    <n v="619.21"/>
    <s v="801 Main St"/>
    <x v="0"/>
    <x v="1"/>
    <s v="TRK65385674"/>
    <n v="6"/>
    <s v="NO COUPON"/>
    <x v="2"/>
    <x v="194"/>
    <m/>
  </r>
  <r>
    <s v="ORD200196"/>
    <x v="182"/>
    <s v="C40882"/>
    <x v="6"/>
    <n v="4"/>
    <n v="217.13"/>
    <s v="719 Main St"/>
    <x v="4"/>
    <x v="3"/>
    <s v="TRK64165503"/>
    <n v="8"/>
    <s v="WINTER15"/>
    <x v="2"/>
    <x v="195"/>
    <m/>
  </r>
  <r>
    <s v="ORD200197"/>
    <x v="183"/>
    <s v="C80135"/>
    <x v="5"/>
    <n v="5"/>
    <n v="221.51"/>
    <s v="723 Main St"/>
    <x v="4"/>
    <x v="2"/>
    <s v="TRK95222269"/>
    <n v="5"/>
    <s v="WINTER15"/>
    <x v="1"/>
    <x v="196"/>
    <m/>
  </r>
  <r>
    <s v="ORD200198"/>
    <x v="184"/>
    <s v="C37594"/>
    <x v="5"/>
    <n v="4"/>
    <n v="340.3"/>
    <s v="926 Main St"/>
    <x v="4"/>
    <x v="1"/>
    <s v="TRK94405162"/>
    <n v="8"/>
    <s v="SAVE10"/>
    <x v="1"/>
    <x v="197"/>
    <m/>
  </r>
  <r>
    <s v="ORD200199"/>
    <x v="185"/>
    <s v="C87524"/>
    <x v="1"/>
    <n v="1"/>
    <n v="625"/>
    <s v="358 Main St"/>
    <x v="1"/>
    <x v="2"/>
    <s v="TRK21114341"/>
    <n v="5"/>
    <s v="WINTER15"/>
    <x v="4"/>
    <x v="198"/>
    <m/>
  </r>
  <r>
    <s v="ORD200200"/>
    <x v="186"/>
    <s v="C97681"/>
    <x v="2"/>
    <n v="5"/>
    <n v="433.26"/>
    <s v="895 Main St"/>
    <x v="2"/>
    <x v="3"/>
    <s v="TRK37531040"/>
    <n v="9"/>
    <s v="SAVE10"/>
    <x v="4"/>
    <x v="199"/>
    <m/>
  </r>
  <r>
    <s v="ORD200201"/>
    <x v="187"/>
    <s v="C10126"/>
    <x v="0"/>
    <n v="2"/>
    <n v="674.9"/>
    <s v="146 Main St"/>
    <x v="1"/>
    <x v="0"/>
    <s v="TRK75607531"/>
    <n v="4"/>
    <s v="SAVE10"/>
    <x v="3"/>
    <x v="200"/>
    <m/>
  </r>
  <r>
    <s v="ORD200202"/>
    <x v="188"/>
    <s v="C36938"/>
    <x v="0"/>
    <n v="3"/>
    <n v="253.98"/>
    <s v="636 Main St"/>
    <x v="2"/>
    <x v="1"/>
    <s v="TRK52522904"/>
    <n v="3"/>
    <s v="FREESHIP"/>
    <x v="2"/>
    <x v="201"/>
    <m/>
  </r>
  <r>
    <s v="ORD200203"/>
    <x v="94"/>
    <s v="C99173"/>
    <x v="4"/>
    <n v="3"/>
    <n v="356.84"/>
    <s v="172 Main St"/>
    <x v="1"/>
    <x v="0"/>
    <s v="TRK89849342"/>
    <n v="5"/>
    <s v="SAVE10"/>
    <x v="0"/>
    <x v="202"/>
    <m/>
  </r>
  <r>
    <s v="ORD200204"/>
    <x v="189"/>
    <s v="C99775"/>
    <x v="5"/>
    <n v="4"/>
    <n v="413.71"/>
    <s v="478 Main St"/>
    <x v="3"/>
    <x v="1"/>
    <s v="TRK21638425"/>
    <n v="9"/>
    <s v="FREESHIP"/>
    <x v="3"/>
    <x v="203"/>
    <m/>
  </r>
  <r>
    <s v="ORD200205"/>
    <x v="190"/>
    <s v="C19266"/>
    <x v="6"/>
    <n v="3"/>
    <n v="147.38999999999999"/>
    <s v="609 Main St"/>
    <x v="0"/>
    <x v="2"/>
    <s v="TRK58357269"/>
    <n v="3"/>
    <s v="NO COUPON"/>
    <x v="2"/>
    <x v="204"/>
    <m/>
  </r>
  <r>
    <s v="ORD200206"/>
    <x v="162"/>
    <s v="C31072"/>
    <x v="5"/>
    <n v="4"/>
    <n v="229.1"/>
    <s v="729 Main St"/>
    <x v="3"/>
    <x v="2"/>
    <s v="TRK77172975"/>
    <n v="8"/>
    <s v="WINTER15"/>
    <x v="2"/>
    <x v="205"/>
    <m/>
  </r>
  <r>
    <s v="ORD200207"/>
    <x v="191"/>
    <s v="C54595"/>
    <x v="1"/>
    <n v="1"/>
    <n v="121.96"/>
    <s v="999 Main St"/>
    <x v="0"/>
    <x v="3"/>
    <s v="TRK44416659"/>
    <n v="3"/>
    <s v="NO COUPON"/>
    <x v="4"/>
    <x v="206"/>
    <m/>
  </r>
  <r>
    <s v="ORD200208"/>
    <x v="192"/>
    <s v="C87777"/>
    <x v="6"/>
    <n v="2"/>
    <n v="408.32"/>
    <s v="597 Main St"/>
    <x v="1"/>
    <x v="0"/>
    <s v="TRK29003608"/>
    <n v="3"/>
    <s v="FREESHIP"/>
    <x v="3"/>
    <x v="207"/>
    <m/>
  </r>
  <r>
    <s v="ORD200209"/>
    <x v="193"/>
    <s v="C35854"/>
    <x v="2"/>
    <n v="5"/>
    <n v="187.97"/>
    <s v="706 Main St"/>
    <x v="4"/>
    <x v="2"/>
    <s v="TRK30615168"/>
    <n v="9"/>
    <s v="SAVE10"/>
    <x v="4"/>
    <x v="208"/>
    <m/>
  </r>
  <r>
    <s v="ORD200210"/>
    <x v="194"/>
    <s v="C93821"/>
    <x v="3"/>
    <n v="3"/>
    <n v="358.48"/>
    <s v="513 Main St"/>
    <x v="3"/>
    <x v="3"/>
    <s v="TRK10658539"/>
    <n v="7"/>
    <s v="FREESHIP"/>
    <x v="3"/>
    <x v="209"/>
    <m/>
  </r>
  <r>
    <s v="ORD200211"/>
    <x v="195"/>
    <s v="C54390"/>
    <x v="4"/>
    <n v="3"/>
    <n v="193.58"/>
    <s v="185 Main St"/>
    <x v="3"/>
    <x v="4"/>
    <s v="TRK83853742"/>
    <n v="7"/>
    <s v="FREESHIP"/>
    <x v="2"/>
    <x v="210"/>
    <m/>
  </r>
  <r>
    <s v="ORD200212"/>
    <x v="196"/>
    <s v="C53215"/>
    <x v="0"/>
    <n v="1"/>
    <n v="265.38"/>
    <s v="367 Main St"/>
    <x v="2"/>
    <x v="1"/>
    <s v="TRK34751835"/>
    <n v="6"/>
    <s v="WINTER15"/>
    <x v="2"/>
    <x v="211"/>
    <m/>
  </r>
  <r>
    <s v="ORD200213"/>
    <x v="197"/>
    <s v="C71122"/>
    <x v="5"/>
    <n v="1"/>
    <n v="634.4"/>
    <s v="317 Main St"/>
    <x v="4"/>
    <x v="1"/>
    <s v="TRK54757882"/>
    <n v="6"/>
    <s v="SAVE10"/>
    <x v="2"/>
    <x v="212"/>
    <m/>
  </r>
  <r>
    <s v="ORD200214"/>
    <x v="58"/>
    <s v="C29483"/>
    <x v="6"/>
    <n v="4"/>
    <n v="305.72000000000003"/>
    <s v="673 Main St"/>
    <x v="1"/>
    <x v="3"/>
    <s v="TRK89423603"/>
    <n v="5"/>
    <s v="NO COUPON"/>
    <x v="3"/>
    <x v="213"/>
    <m/>
  </r>
  <r>
    <s v="ORD200215"/>
    <x v="121"/>
    <s v="C26767"/>
    <x v="4"/>
    <n v="1"/>
    <n v="303.60000000000002"/>
    <s v="432 Main St"/>
    <x v="4"/>
    <x v="0"/>
    <s v="TRK24585307"/>
    <n v="5"/>
    <s v="FREESHIP"/>
    <x v="3"/>
    <x v="214"/>
    <m/>
  </r>
  <r>
    <s v="ORD200216"/>
    <x v="198"/>
    <s v="C70492"/>
    <x v="0"/>
    <n v="4"/>
    <n v="496"/>
    <s v="811 Main St"/>
    <x v="1"/>
    <x v="1"/>
    <s v="TRK84625405"/>
    <n v="8"/>
    <s v="WINTER15"/>
    <x v="4"/>
    <x v="215"/>
    <m/>
  </r>
  <r>
    <s v="ORD200217"/>
    <x v="199"/>
    <s v="C61549"/>
    <x v="6"/>
    <n v="4"/>
    <n v="321.51"/>
    <s v="908 Main St"/>
    <x v="4"/>
    <x v="2"/>
    <s v="TRK65596914"/>
    <n v="9"/>
    <s v="NO COUPON"/>
    <x v="4"/>
    <x v="216"/>
    <m/>
  </r>
  <r>
    <s v="ORD200218"/>
    <x v="200"/>
    <s v="C11665"/>
    <x v="2"/>
    <n v="3"/>
    <n v="112.46"/>
    <s v="882 Main St"/>
    <x v="3"/>
    <x v="0"/>
    <s v="TRK10993930"/>
    <n v="6"/>
    <s v="SAVE10"/>
    <x v="0"/>
    <x v="217"/>
    <m/>
  </r>
  <r>
    <s v="ORD200219"/>
    <x v="201"/>
    <s v="C48946"/>
    <x v="5"/>
    <n v="5"/>
    <n v="61.97"/>
    <s v="457 Main St"/>
    <x v="4"/>
    <x v="3"/>
    <s v="TRK99387220"/>
    <n v="6"/>
    <s v="SAVE10"/>
    <x v="2"/>
    <x v="218"/>
    <m/>
  </r>
  <r>
    <s v="ORD200220"/>
    <x v="202"/>
    <s v="C79506"/>
    <x v="5"/>
    <n v="2"/>
    <n v="373.17"/>
    <s v="497 Main St"/>
    <x v="2"/>
    <x v="4"/>
    <s v="TRK95188748"/>
    <n v="6"/>
    <s v="SAVE10"/>
    <x v="1"/>
    <x v="219"/>
    <m/>
  </r>
  <r>
    <s v="ORD200221"/>
    <x v="203"/>
    <s v="C93473"/>
    <x v="2"/>
    <n v="5"/>
    <n v="639.37"/>
    <s v="552 Main St"/>
    <x v="0"/>
    <x v="4"/>
    <s v="TRK50003989"/>
    <n v="6"/>
    <s v="SAVE10"/>
    <x v="4"/>
    <x v="220"/>
    <m/>
  </r>
  <r>
    <s v="ORD200222"/>
    <x v="204"/>
    <s v="C43124"/>
    <x v="3"/>
    <n v="4"/>
    <n v="693.36"/>
    <s v="931 Main St"/>
    <x v="1"/>
    <x v="0"/>
    <s v="TRK17293348"/>
    <n v="8"/>
    <s v="NO COUPON"/>
    <x v="0"/>
    <x v="221"/>
    <m/>
  </r>
  <r>
    <s v="ORD200223"/>
    <x v="57"/>
    <s v="C22783"/>
    <x v="1"/>
    <n v="4"/>
    <n v="692.91"/>
    <s v="673 Main St"/>
    <x v="2"/>
    <x v="4"/>
    <s v="TRK55009149"/>
    <n v="9"/>
    <s v="SAVE10"/>
    <x v="0"/>
    <x v="222"/>
    <m/>
  </r>
  <r>
    <s v="ORD200224"/>
    <x v="205"/>
    <s v="C18567"/>
    <x v="4"/>
    <n v="4"/>
    <n v="91.46"/>
    <s v="507 Main St"/>
    <x v="4"/>
    <x v="1"/>
    <s v="TRK17554673"/>
    <n v="9"/>
    <s v="SAVE10"/>
    <x v="1"/>
    <x v="223"/>
    <m/>
  </r>
  <r>
    <s v="ORD200225"/>
    <x v="206"/>
    <s v="C99879"/>
    <x v="1"/>
    <n v="3"/>
    <n v="273.95999999999998"/>
    <s v="692 Main St"/>
    <x v="0"/>
    <x v="2"/>
    <s v="TRK50246700"/>
    <n v="8"/>
    <s v="SAVE10"/>
    <x v="4"/>
    <x v="224"/>
    <m/>
  </r>
  <r>
    <s v="ORD200226"/>
    <x v="207"/>
    <s v="C31501"/>
    <x v="6"/>
    <n v="3"/>
    <n v="588.04999999999995"/>
    <s v="242 Main St"/>
    <x v="3"/>
    <x v="3"/>
    <s v="TRK93063929"/>
    <n v="8"/>
    <s v="NO COUPON"/>
    <x v="0"/>
    <x v="225"/>
    <m/>
  </r>
  <r>
    <s v="ORD200227"/>
    <x v="208"/>
    <s v="C93220"/>
    <x v="0"/>
    <n v="2"/>
    <n v="365.17"/>
    <s v="353 Main St"/>
    <x v="1"/>
    <x v="1"/>
    <s v="TRK89023251"/>
    <n v="4"/>
    <s v="FREESHIP"/>
    <x v="3"/>
    <x v="226"/>
    <m/>
  </r>
  <r>
    <s v="ORD200228"/>
    <x v="209"/>
    <s v="C57867"/>
    <x v="3"/>
    <n v="4"/>
    <n v="385.92"/>
    <s v="579 Main St"/>
    <x v="2"/>
    <x v="1"/>
    <s v="TRK92055007"/>
    <n v="8"/>
    <s v="NO COUPON"/>
    <x v="0"/>
    <x v="227"/>
    <m/>
  </r>
  <r>
    <s v="ORD200229"/>
    <x v="210"/>
    <s v="C62622"/>
    <x v="2"/>
    <n v="1"/>
    <n v="562.61"/>
    <s v="762 Main St"/>
    <x v="2"/>
    <x v="3"/>
    <s v="TRK70997648"/>
    <n v="3"/>
    <s v="WINTER15"/>
    <x v="3"/>
    <x v="228"/>
    <m/>
  </r>
  <r>
    <s v="ORD200230"/>
    <x v="211"/>
    <s v="C94595"/>
    <x v="6"/>
    <n v="4"/>
    <n v="61.91"/>
    <s v="948 Main St"/>
    <x v="3"/>
    <x v="3"/>
    <s v="TRK24497305"/>
    <n v="6"/>
    <s v="WINTER15"/>
    <x v="2"/>
    <x v="229"/>
    <m/>
  </r>
  <r>
    <s v="ORD200231"/>
    <x v="212"/>
    <s v="C30955"/>
    <x v="1"/>
    <n v="4"/>
    <n v="41.9"/>
    <s v="327 Main St"/>
    <x v="3"/>
    <x v="4"/>
    <s v="TRK46898848"/>
    <n v="9"/>
    <s v="FREESHIP"/>
    <x v="0"/>
    <x v="230"/>
    <m/>
  </r>
  <r>
    <s v="ORD200232"/>
    <x v="213"/>
    <s v="C20731"/>
    <x v="4"/>
    <n v="4"/>
    <n v="444.44"/>
    <s v="610 Main St"/>
    <x v="0"/>
    <x v="1"/>
    <s v="TRK75568437"/>
    <n v="8"/>
    <s v="WINTER15"/>
    <x v="4"/>
    <x v="231"/>
    <m/>
  </r>
  <r>
    <s v="ORD200233"/>
    <x v="214"/>
    <s v="C30168"/>
    <x v="1"/>
    <n v="3"/>
    <n v="311.33"/>
    <s v="146 Main St"/>
    <x v="4"/>
    <x v="1"/>
    <s v="TRK73699939"/>
    <n v="3"/>
    <s v="WINTER15"/>
    <x v="0"/>
    <x v="232"/>
    <m/>
  </r>
  <r>
    <s v="ORD200234"/>
    <x v="130"/>
    <s v="C79842"/>
    <x v="4"/>
    <n v="4"/>
    <n v="236.41"/>
    <s v="337 Main St"/>
    <x v="0"/>
    <x v="4"/>
    <s v="TRK26957950"/>
    <n v="7"/>
    <s v="SAVE10"/>
    <x v="4"/>
    <x v="233"/>
    <m/>
  </r>
  <r>
    <s v="ORD200235"/>
    <x v="215"/>
    <s v="C32854"/>
    <x v="6"/>
    <n v="1"/>
    <n v="65.45"/>
    <s v="815 Main St"/>
    <x v="4"/>
    <x v="4"/>
    <s v="TRK30009218"/>
    <n v="2"/>
    <s v="WINTER15"/>
    <x v="4"/>
    <x v="234"/>
    <m/>
  </r>
  <r>
    <s v="ORD200236"/>
    <x v="107"/>
    <s v="C14847"/>
    <x v="0"/>
    <n v="1"/>
    <n v="318.81"/>
    <s v="562 Main St"/>
    <x v="0"/>
    <x v="4"/>
    <s v="TRK39663243"/>
    <n v="3"/>
    <s v="WINTER15"/>
    <x v="2"/>
    <x v="235"/>
    <m/>
  </r>
  <r>
    <s v="ORD200237"/>
    <x v="216"/>
    <s v="C88645"/>
    <x v="0"/>
    <n v="3"/>
    <n v="583.72"/>
    <s v="783 Main St"/>
    <x v="2"/>
    <x v="0"/>
    <s v="TRK74097570"/>
    <n v="5"/>
    <s v="FREESHIP"/>
    <x v="3"/>
    <x v="236"/>
    <m/>
  </r>
  <r>
    <s v="ORD200238"/>
    <x v="217"/>
    <s v="C66149"/>
    <x v="6"/>
    <n v="4"/>
    <n v="384.32"/>
    <s v="770 Main St"/>
    <x v="2"/>
    <x v="4"/>
    <s v="TRK76307307"/>
    <n v="6"/>
    <s v="WINTER15"/>
    <x v="4"/>
    <x v="237"/>
    <m/>
  </r>
  <r>
    <s v="ORD200239"/>
    <x v="218"/>
    <s v="C20256"/>
    <x v="2"/>
    <n v="3"/>
    <n v="538.74"/>
    <s v="456 Main St"/>
    <x v="1"/>
    <x v="0"/>
    <s v="TRK71127943"/>
    <n v="6"/>
    <s v="FREESHIP"/>
    <x v="2"/>
    <x v="238"/>
    <m/>
  </r>
  <r>
    <s v="ORD200240"/>
    <x v="219"/>
    <s v="C14983"/>
    <x v="2"/>
    <n v="1"/>
    <n v="17.239999999999998"/>
    <s v="255 Main St"/>
    <x v="1"/>
    <x v="4"/>
    <s v="TRK93444157"/>
    <n v="2"/>
    <s v="FREESHIP"/>
    <x v="0"/>
    <x v="239"/>
    <m/>
  </r>
  <r>
    <s v="ORD200241"/>
    <x v="220"/>
    <s v="C20817"/>
    <x v="3"/>
    <n v="5"/>
    <n v="615.66999999999996"/>
    <s v="407 Main St"/>
    <x v="1"/>
    <x v="4"/>
    <s v="TRK44164590"/>
    <n v="6"/>
    <s v="SAVE10"/>
    <x v="2"/>
    <x v="240"/>
    <m/>
  </r>
  <r>
    <s v="ORD200242"/>
    <x v="221"/>
    <s v="C94921"/>
    <x v="4"/>
    <n v="2"/>
    <n v="219.1"/>
    <s v="134 Main St"/>
    <x v="1"/>
    <x v="4"/>
    <s v="TRK97794327"/>
    <n v="4"/>
    <s v="SAVE10"/>
    <x v="1"/>
    <x v="241"/>
    <m/>
  </r>
  <r>
    <s v="ORD200243"/>
    <x v="222"/>
    <s v="C54725"/>
    <x v="3"/>
    <n v="2"/>
    <n v="144.66"/>
    <s v="506 Main St"/>
    <x v="1"/>
    <x v="1"/>
    <s v="TRK30601940"/>
    <n v="7"/>
    <s v="FREESHIP"/>
    <x v="4"/>
    <x v="242"/>
    <m/>
  </r>
  <r>
    <s v="ORD200244"/>
    <x v="223"/>
    <s v="C98096"/>
    <x v="6"/>
    <n v="2"/>
    <n v="317.77"/>
    <s v="838 Main St"/>
    <x v="0"/>
    <x v="1"/>
    <s v="TRK51518631"/>
    <n v="4"/>
    <s v="WINTER15"/>
    <x v="3"/>
    <x v="243"/>
    <m/>
  </r>
  <r>
    <s v="ORD200245"/>
    <x v="224"/>
    <s v="C12667"/>
    <x v="5"/>
    <n v="1"/>
    <n v="223.3"/>
    <s v="306 Main St"/>
    <x v="1"/>
    <x v="2"/>
    <s v="TRK25390491"/>
    <n v="1"/>
    <s v="NO COUPON"/>
    <x v="3"/>
    <x v="244"/>
    <m/>
  </r>
  <r>
    <s v="ORD200246"/>
    <x v="225"/>
    <s v="C55354"/>
    <x v="6"/>
    <n v="2"/>
    <n v="342.11"/>
    <s v="164 Main St"/>
    <x v="3"/>
    <x v="0"/>
    <s v="TRK15439493"/>
    <n v="2"/>
    <s v="WINTER15"/>
    <x v="0"/>
    <x v="245"/>
    <m/>
  </r>
  <r>
    <s v="ORD200247"/>
    <x v="145"/>
    <s v="C14600"/>
    <x v="4"/>
    <n v="2"/>
    <n v="220.9"/>
    <s v="785 Main St"/>
    <x v="3"/>
    <x v="0"/>
    <s v="TRK84984764"/>
    <n v="4"/>
    <s v="NO COUPON"/>
    <x v="2"/>
    <x v="246"/>
    <m/>
  </r>
  <r>
    <s v="ORD200248"/>
    <x v="226"/>
    <s v="C97187"/>
    <x v="5"/>
    <n v="1"/>
    <n v="670.54"/>
    <s v="471 Main St"/>
    <x v="4"/>
    <x v="0"/>
    <s v="TRK62283713"/>
    <n v="6"/>
    <s v="FREESHIP"/>
    <x v="1"/>
    <x v="247"/>
    <m/>
  </r>
  <r>
    <s v="ORD200249"/>
    <x v="227"/>
    <s v="C39106"/>
    <x v="4"/>
    <n v="1"/>
    <n v="546.19000000000005"/>
    <s v="245 Main St"/>
    <x v="4"/>
    <x v="4"/>
    <s v="TRK35464433"/>
    <n v="5"/>
    <s v="FREESHIP"/>
    <x v="1"/>
    <x v="248"/>
    <m/>
  </r>
  <r>
    <s v="ORD200250"/>
    <x v="228"/>
    <s v="C93379"/>
    <x v="6"/>
    <n v="3"/>
    <n v="42.95"/>
    <s v="318 Main St"/>
    <x v="3"/>
    <x v="2"/>
    <s v="TRK67954150"/>
    <n v="8"/>
    <s v="SAVE10"/>
    <x v="2"/>
    <x v="249"/>
    <m/>
  </r>
  <r>
    <s v="ORD200251"/>
    <x v="229"/>
    <s v="C93175"/>
    <x v="0"/>
    <n v="4"/>
    <n v="14.69"/>
    <s v="814 Main St"/>
    <x v="4"/>
    <x v="1"/>
    <s v="TRK32995144"/>
    <n v="9"/>
    <s v="NO COUPON"/>
    <x v="2"/>
    <x v="250"/>
    <m/>
  </r>
  <r>
    <s v="ORD200252"/>
    <x v="28"/>
    <s v="C19648"/>
    <x v="1"/>
    <n v="4"/>
    <n v="668.36"/>
    <s v="821 Main St"/>
    <x v="3"/>
    <x v="1"/>
    <s v="TRK51297879"/>
    <n v="5"/>
    <s v="FREESHIP"/>
    <x v="3"/>
    <x v="251"/>
    <m/>
  </r>
  <r>
    <s v="ORD200253"/>
    <x v="230"/>
    <s v="C14891"/>
    <x v="3"/>
    <n v="4"/>
    <n v="413.74"/>
    <s v="743 Main St"/>
    <x v="3"/>
    <x v="2"/>
    <s v="TRK79471534"/>
    <n v="7"/>
    <s v="FREESHIP"/>
    <x v="0"/>
    <x v="252"/>
    <m/>
  </r>
  <r>
    <s v="ORD200254"/>
    <x v="231"/>
    <s v="C10866"/>
    <x v="0"/>
    <n v="3"/>
    <n v="263.19"/>
    <s v="770 Main St"/>
    <x v="1"/>
    <x v="3"/>
    <s v="TRK34809583"/>
    <n v="5"/>
    <s v="NO COUPON"/>
    <x v="0"/>
    <x v="253"/>
    <m/>
  </r>
  <r>
    <s v="ORD200255"/>
    <x v="232"/>
    <s v="C47283"/>
    <x v="0"/>
    <n v="1"/>
    <n v="263.95999999999998"/>
    <s v="806 Main St"/>
    <x v="3"/>
    <x v="2"/>
    <s v="TRK56235117"/>
    <n v="2"/>
    <s v="SAVE10"/>
    <x v="4"/>
    <x v="254"/>
    <m/>
  </r>
  <r>
    <s v="ORD200256"/>
    <x v="233"/>
    <s v="C94323"/>
    <x v="3"/>
    <n v="5"/>
    <n v="75.81"/>
    <s v="463 Main St"/>
    <x v="3"/>
    <x v="2"/>
    <s v="TRK22663277"/>
    <n v="10"/>
    <s v="WINTER15"/>
    <x v="0"/>
    <x v="255"/>
    <m/>
  </r>
  <r>
    <s v="ORD200257"/>
    <x v="234"/>
    <s v="C89732"/>
    <x v="1"/>
    <n v="1"/>
    <n v="406.22"/>
    <s v="712 Main St"/>
    <x v="2"/>
    <x v="1"/>
    <s v="TRK41059233"/>
    <n v="5"/>
    <s v="SAVE10"/>
    <x v="1"/>
    <x v="256"/>
    <m/>
  </r>
  <r>
    <s v="ORD200258"/>
    <x v="235"/>
    <s v="C87764"/>
    <x v="2"/>
    <n v="2"/>
    <n v="103.41"/>
    <s v="294 Main St"/>
    <x v="1"/>
    <x v="0"/>
    <s v="TRK94082469"/>
    <n v="2"/>
    <s v="FREESHIP"/>
    <x v="1"/>
    <x v="257"/>
    <m/>
  </r>
  <r>
    <s v="ORD200259"/>
    <x v="236"/>
    <s v="C20977"/>
    <x v="3"/>
    <n v="4"/>
    <n v="435.12"/>
    <s v="636 Main St"/>
    <x v="2"/>
    <x v="3"/>
    <s v="TRK54991561"/>
    <n v="9"/>
    <s v="SAVE10"/>
    <x v="0"/>
    <x v="258"/>
    <m/>
  </r>
  <r>
    <s v="ORD200260"/>
    <x v="209"/>
    <s v="C12245"/>
    <x v="0"/>
    <n v="2"/>
    <n v="407.79"/>
    <s v="153 Main St"/>
    <x v="0"/>
    <x v="0"/>
    <s v="TRK22000463"/>
    <n v="3"/>
    <s v="NO COUPON"/>
    <x v="4"/>
    <x v="259"/>
    <m/>
  </r>
  <r>
    <s v="ORD200261"/>
    <x v="237"/>
    <s v="C68976"/>
    <x v="1"/>
    <n v="5"/>
    <n v="173.65"/>
    <s v="460 Main St"/>
    <x v="3"/>
    <x v="3"/>
    <s v="TRK25491356"/>
    <n v="9"/>
    <s v="SAVE10"/>
    <x v="2"/>
    <x v="260"/>
    <m/>
  </r>
  <r>
    <s v="ORD200262"/>
    <x v="238"/>
    <s v="C69476"/>
    <x v="1"/>
    <n v="4"/>
    <n v="249.07"/>
    <s v="642 Main St"/>
    <x v="2"/>
    <x v="2"/>
    <s v="TRK65869386"/>
    <n v="5"/>
    <s v="WINTER15"/>
    <x v="1"/>
    <x v="261"/>
    <m/>
  </r>
  <r>
    <s v="ORD200263"/>
    <x v="239"/>
    <s v="C71040"/>
    <x v="1"/>
    <n v="4"/>
    <n v="434.85"/>
    <s v="250 Main St"/>
    <x v="2"/>
    <x v="4"/>
    <s v="TRK41397604"/>
    <n v="4"/>
    <s v="WINTER15"/>
    <x v="4"/>
    <x v="262"/>
    <m/>
  </r>
  <r>
    <s v="ORD200264"/>
    <x v="240"/>
    <s v="C71035"/>
    <x v="2"/>
    <n v="1"/>
    <n v="436.77"/>
    <s v="977 Main St"/>
    <x v="4"/>
    <x v="2"/>
    <s v="TRK19599578"/>
    <n v="5"/>
    <s v="FREESHIP"/>
    <x v="4"/>
    <x v="263"/>
    <m/>
  </r>
  <r>
    <s v="ORD200265"/>
    <x v="241"/>
    <s v="C20752"/>
    <x v="4"/>
    <n v="1"/>
    <n v="572.13"/>
    <s v="150 Main St"/>
    <x v="0"/>
    <x v="1"/>
    <s v="TRK22298450"/>
    <n v="4"/>
    <s v="SAVE10"/>
    <x v="4"/>
    <x v="264"/>
    <m/>
  </r>
  <r>
    <s v="ORD200266"/>
    <x v="180"/>
    <s v="C38840"/>
    <x v="3"/>
    <n v="4"/>
    <n v="583.07000000000005"/>
    <s v="589 Main St"/>
    <x v="2"/>
    <x v="1"/>
    <s v="TRK48484633"/>
    <n v="6"/>
    <s v="FREESHIP"/>
    <x v="1"/>
    <x v="265"/>
    <m/>
  </r>
  <r>
    <s v="ORD200267"/>
    <x v="242"/>
    <s v="C84480"/>
    <x v="3"/>
    <n v="5"/>
    <n v="468.51"/>
    <s v="803 Main St"/>
    <x v="0"/>
    <x v="3"/>
    <s v="TRK62361867"/>
    <n v="9"/>
    <s v="NO COUPON"/>
    <x v="3"/>
    <x v="266"/>
    <m/>
  </r>
  <r>
    <s v="ORD200268"/>
    <x v="178"/>
    <s v="C37032"/>
    <x v="1"/>
    <n v="2"/>
    <n v="423.88"/>
    <s v="655 Main St"/>
    <x v="0"/>
    <x v="3"/>
    <s v="TRK48639226"/>
    <n v="7"/>
    <s v="SAVE10"/>
    <x v="1"/>
    <x v="267"/>
    <m/>
  </r>
  <r>
    <s v="ORD200269"/>
    <x v="97"/>
    <s v="C48942"/>
    <x v="2"/>
    <n v="4"/>
    <n v="663.67"/>
    <s v="129 Main St"/>
    <x v="2"/>
    <x v="4"/>
    <s v="TRK29355120"/>
    <n v="7"/>
    <s v="FREESHIP"/>
    <x v="4"/>
    <x v="268"/>
    <m/>
  </r>
  <r>
    <s v="ORD200270"/>
    <x v="243"/>
    <s v="C13540"/>
    <x v="4"/>
    <n v="4"/>
    <n v="309.91000000000003"/>
    <s v="127 Main St"/>
    <x v="0"/>
    <x v="0"/>
    <s v="TRK81087373"/>
    <n v="5"/>
    <s v="WINTER15"/>
    <x v="4"/>
    <x v="269"/>
    <m/>
  </r>
  <r>
    <s v="ORD200271"/>
    <x v="125"/>
    <s v="C59572"/>
    <x v="0"/>
    <n v="1"/>
    <n v="542.07000000000005"/>
    <s v="791 Main St"/>
    <x v="4"/>
    <x v="0"/>
    <s v="TRK16792991"/>
    <n v="6"/>
    <s v="WINTER15"/>
    <x v="1"/>
    <x v="270"/>
    <m/>
  </r>
  <r>
    <s v="ORD200272"/>
    <x v="244"/>
    <s v="C29758"/>
    <x v="3"/>
    <n v="2"/>
    <n v="399.32"/>
    <s v="119 Main St"/>
    <x v="1"/>
    <x v="4"/>
    <s v="TRK12990043"/>
    <n v="6"/>
    <s v="WINTER15"/>
    <x v="0"/>
    <x v="271"/>
    <m/>
  </r>
  <r>
    <s v="ORD200273"/>
    <x v="245"/>
    <s v="C11849"/>
    <x v="2"/>
    <n v="2"/>
    <n v="238.25"/>
    <s v="974 Main St"/>
    <x v="1"/>
    <x v="1"/>
    <s v="TRK91195261"/>
    <n v="7"/>
    <s v="FREESHIP"/>
    <x v="2"/>
    <x v="272"/>
    <m/>
  </r>
  <r>
    <s v="ORD200274"/>
    <x v="246"/>
    <s v="C50967"/>
    <x v="1"/>
    <n v="2"/>
    <n v="182.4"/>
    <s v="884 Main St"/>
    <x v="3"/>
    <x v="1"/>
    <s v="TRK65300814"/>
    <n v="5"/>
    <s v="SAVE10"/>
    <x v="1"/>
    <x v="273"/>
    <m/>
  </r>
  <r>
    <s v="ORD200275"/>
    <x v="247"/>
    <s v="C80735"/>
    <x v="3"/>
    <n v="2"/>
    <n v="65.069999999999993"/>
    <s v="360 Main St"/>
    <x v="2"/>
    <x v="1"/>
    <s v="TRK99880231"/>
    <n v="4"/>
    <s v="SAVE10"/>
    <x v="4"/>
    <x v="274"/>
    <m/>
  </r>
  <r>
    <s v="ORD200276"/>
    <x v="248"/>
    <s v="C99050"/>
    <x v="4"/>
    <n v="2"/>
    <n v="600.57000000000005"/>
    <s v="654 Main St"/>
    <x v="0"/>
    <x v="2"/>
    <s v="TRK56927089"/>
    <n v="3"/>
    <s v="WINTER15"/>
    <x v="0"/>
    <x v="275"/>
    <m/>
  </r>
  <r>
    <s v="ORD200277"/>
    <x v="82"/>
    <s v="C11210"/>
    <x v="3"/>
    <n v="5"/>
    <n v="90.92"/>
    <s v="910 Main St"/>
    <x v="2"/>
    <x v="3"/>
    <s v="TRK44929965"/>
    <n v="9"/>
    <s v="SAVE10"/>
    <x v="3"/>
    <x v="276"/>
    <m/>
  </r>
  <r>
    <s v="ORD200278"/>
    <x v="249"/>
    <s v="C46015"/>
    <x v="5"/>
    <n v="5"/>
    <n v="362.46"/>
    <s v="299 Main St"/>
    <x v="4"/>
    <x v="3"/>
    <s v="TRK46598430"/>
    <n v="6"/>
    <s v="FREESHIP"/>
    <x v="0"/>
    <x v="277"/>
    <m/>
  </r>
  <r>
    <s v="ORD200279"/>
    <x v="250"/>
    <s v="C69167"/>
    <x v="3"/>
    <n v="3"/>
    <n v="55.01"/>
    <s v="263 Main St"/>
    <x v="1"/>
    <x v="4"/>
    <s v="TRK12425655"/>
    <n v="7"/>
    <s v="WINTER15"/>
    <x v="2"/>
    <x v="278"/>
    <m/>
  </r>
  <r>
    <s v="ORD200280"/>
    <x v="14"/>
    <s v="C55388"/>
    <x v="2"/>
    <n v="3"/>
    <n v="404.62"/>
    <s v="740 Main St"/>
    <x v="3"/>
    <x v="3"/>
    <s v="TRK75741001"/>
    <n v="6"/>
    <s v="FREESHIP"/>
    <x v="0"/>
    <x v="279"/>
    <m/>
  </r>
  <r>
    <s v="ORD200281"/>
    <x v="152"/>
    <s v="C87181"/>
    <x v="6"/>
    <n v="4"/>
    <n v="654.79"/>
    <s v="195 Main St"/>
    <x v="4"/>
    <x v="4"/>
    <s v="TRK60093390"/>
    <n v="9"/>
    <s v="NO COUPON"/>
    <x v="1"/>
    <x v="280"/>
    <m/>
  </r>
  <r>
    <s v="ORD200282"/>
    <x v="251"/>
    <s v="C30411"/>
    <x v="4"/>
    <n v="4"/>
    <n v="637.79"/>
    <s v="375 Main St"/>
    <x v="3"/>
    <x v="1"/>
    <s v="TRK71810536"/>
    <n v="9"/>
    <s v="FREESHIP"/>
    <x v="4"/>
    <x v="281"/>
    <m/>
  </r>
  <r>
    <s v="ORD200283"/>
    <x v="252"/>
    <s v="C39638"/>
    <x v="5"/>
    <n v="4"/>
    <n v="540.33000000000004"/>
    <s v="990 Main St"/>
    <x v="4"/>
    <x v="0"/>
    <s v="TRK69745608"/>
    <n v="6"/>
    <s v="NO COUPON"/>
    <x v="4"/>
    <x v="282"/>
    <m/>
  </r>
  <r>
    <s v="ORD200284"/>
    <x v="223"/>
    <s v="C27203"/>
    <x v="5"/>
    <n v="5"/>
    <n v="208.17"/>
    <s v="516 Main St"/>
    <x v="2"/>
    <x v="2"/>
    <s v="TRK22023906"/>
    <n v="6"/>
    <s v="SAVE10"/>
    <x v="3"/>
    <x v="283"/>
    <m/>
  </r>
  <r>
    <s v="ORD200285"/>
    <x v="69"/>
    <s v="C67583"/>
    <x v="1"/>
    <n v="1"/>
    <n v="338.31"/>
    <s v="974 Main St"/>
    <x v="1"/>
    <x v="3"/>
    <s v="TRK93281700"/>
    <n v="3"/>
    <s v="NO COUPON"/>
    <x v="4"/>
    <x v="284"/>
    <m/>
  </r>
  <r>
    <s v="ORD200286"/>
    <x v="253"/>
    <s v="C70554"/>
    <x v="0"/>
    <n v="3"/>
    <n v="139.44999999999999"/>
    <s v="187 Main St"/>
    <x v="3"/>
    <x v="2"/>
    <s v="TRK61086952"/>
    <n v="8"/>
    <s v="WINTER15"/>
    <x v="4"/>
    <x v="285"/>
    <m/>
  </r>
  <r>
    <s v="ORD200287"/>
    <x v="254"/>
    <s v="C70437"/>
    <x v="3"/>
    <n v="4"/>
    <n v="655.17999999999995"/>
    <s v="630 Main St"/>
    <x v="1"/>
    <x v="0"/>
    <s v="TRK26628830"/>
    <n v="5"/>
    <s v="NO COUPON"/>
    <x v="3"/>
    <x v="286"/>
    <m/>
  </r>
  <r>
    <s v="ORD200288"/>
    <x v="255"/>
    <s v="C97643"/>
    <x v="5"/>
    <n v="4"/>
    <n v="512.75"/>
    <s v="537 Main St"/>
    <x v="0"/>
    <x v="2"/>
    <s v="TRK60831391"/>
    <n v="8"/>
    <s v="WINTER15"/>
    <x v="4"/>
    <x v="287"/>
    <m/>
  </r>
  <r>
    <s v="ORD200289"/>
    <x v="256"/>
    <s v="C17136"/>
    <x v="3"/>
    <n v="4"/>
    <n v="160.49"/>
    <s v="333 Main St"/>
    <x v="2"/>
    <x v="0"/>
    <s v="TRK55362541"/>
    <n v="8"/>
    <s v="WINTER15"/>
    <x v="1"/>
    <x v="288"/>
    <m/>
  </r>
  <r>
    <s v="ORD200290"/>
    <x v="257"/>
    <s v="C24901"/>
    <x v="3"/>
    <n v="3"/>
    <n v="99.9"/>
    <s v="258 Main St"/>
    <x v="4"/>
    <x v="3"/>
    <s v="TRK14029489"/>
    <n v="8"/>
    <s v="FREESHIP"/>
    <x v="3"/>
    <x v="289"/>
    <m/>
  </r>
  <r>
    <s v="ORD200291"/>
    <x v="258"/>
    <s v="C61521"/>
    <x v="1"/>
    <n v="2"/>
    <n v="345.01"/>
    <s v="670 Main St"/>
    <x v="2"/>
    <x v="3"/>
    <s v="TRK93676567"/>
    <n v="6"/>
    <s v="FREESHIP"/>
    <x v="4"/>
    <x v="290"/>
    <m/>
  </r>
  <r>
    <s v="ORD200292"/>
    <x v="259"/>
    <s v="C39639"/>
    <x v="0"/>
    <n v="1"/>
    <n v="65.95"/>
    <s v="185 Main St"/>
    <x v="2"/>
    <x v="3"/>
    <s v="TRK31042152"/>
    <n v="5"/>
    <s v="NO COUPON"/>
    <x v="3"/>
    <x v="291"/>
    <m/>
  </r>
  <r>
    <s v="ORD200293"/>
    <x v="223"/>
    <s v="C33220"/>
    <x v="2"/>
    <n v="4"/>
    <n v="463.04"/>
    <s v="564 Main St"/>
    <x v="3"/>
    <x v="2"/>
    <s v="TRK40450219"/>
    <n v="9"/>
    <s v="NO COUPON"/>
    <x v="0"/>
    <x v="292"/>
    <m/>
  </r>
  <r>
    <s v="ORD200294"/>
    <x v="260"/>
    <s v="C65414"/>
    <x v="1"/>
    <n v="2"/>
    <n v="297.70999999999998"/>
    <s v="208 Main St"/>
    <x v="1"/>
    <x v="0"/>
    <s v="TRK67562517"/>
    <n v="7"/>
    <s v="SAVE10"/>
    <x v="1"/>
    <x v="293"/>
    <m/>
  </r>
  <r>
    <s v="ORD200295"/>
    <x v="261"/>
    <s v="C49009"/>
    <x v="4"/>
    <n v="5"/>
    <n v="107.48"/>
    <s v="278 Main St"/>
    <x v="0"/>
    <x v="1"/>
    <s v="TRK46285799"/>
    <n v="9"/>
    <s v="FREESHIP"/>
    <x v="2"/>
    <x v="294"/>
    <m/>
  </r>
  <r>
    <s v="ORD200296"/>
    <x v="83"/>
    <s v="C48453"/>
    <x v="6"/>
    <n v="5"/>
    <n v="638.79999999999995"/>
    <s v="434 Main St"/>
    <x v="0"/>
    <x v="1"/>
    <s v="TRK52110494"/>
    <n v="10"/>
    <s v="WINTER15"/>
    <x v="1"/>
    <x v="295"/>
    <m/>
  </r>
  <r>
    <s v="ORD200297"/>
    <x v="262"/>
    <s v="C68078"/>
    <x v="6"/>
    <n v="2"/>
    <n v="493.88"/>
    <s v="252 Main St"/>
    <x v="2"/>
    <x v="2"/>
    <s v="TRK64862812"/>
    <n v="7"/>
    <s v="SAVE10"/>
    <x v="0"/>
    <x v="296"/>
    <m/>
  </r>
  <r>
    <s v="ORD200298"/>
    <x v="263"/>
    <s v="C19402"/>
    <x v="4"/>
    <n v="4"/>
    <n v="301.17"/>
    <s v="267 Main St"/>
    <x v="1"/>
    <x v="1"/>
    <s v="TRK97825212"/>
    <n v="6"/>
    <s v="NO COUPON"/>
    <x v="2"/>
    <x v="297"/>
    <m/>
  </r>
  <r>
    <s v="ORD200299"/>
    <x v="264"/>
    <s v="C30711"/>
    <x v="0"/>
    <n v="1"/>
    <n v="278.66000000000003"/>
    <s v="856 Main St"/>
    <x v="3"/>
    <x v="1"/>
    <s v="TRK42696593"/>
    <n v="2"/>
    <s v="FREESHIP"/>
    <x v="0"/>
    <x v="298"/>
    <m/>
  </r>
  <r>
    <s v="ORD200300"/>
    <x v="265"/>
    <s v="C39000"/>
    <x v="1"/>
    <n v="1"/>
    <n v="287.45999999999998"/>
    <s v="894 Main St"/>
    <x v="0"/>
    <x v="2"/>
    <s v="TRK33753945"/>
    <n v="3"/>
    <s v="FREESHIP"/>
    <x v="3"/>
    <x v="299"/>
    <m/>
  </r>
  <r>
    <s v="ORD200301"/>
    <x v="67"/>
    <s v="C31105"/>
    <x v="3"/>
    <n v="1"/>
    <n v="583.99"/>
    <s v="726 Main St"/>
    <x v="4"/>
    <x v="1"/>
    <s v="TRK40149095"/>
    <n v="2"/>
    <s v="SAVE10"/>
    <x v="2"/>
    <x v="300"/>
    <m/>
  </r>
  <r>
    <s v="ORD200302"/>
    <x v="220"/>
    <s v="C29432"/>
    <x v="3"/>
    <n v="3"/>
    <n v="468.74"/>
    <s v="121 Main St"/>
    <x v="4"/>
    <x v="4"/>
    <s v="TRK44142517"/>
    <n v="4"/>
    <s v="FREESHIP"/>
    <x v="0"/>
    <x v="301"/>
    <m/>
  </r>
  <r>
    <s v="ORD200303"/>
    <x v="34"/>
    <s v="C48531"/>
    <x v="2"/>
    <n v="1"/>
    <n v="30.54"/>
    <s v="368 Main St"/>
    <x v="0"/>
    <x v="2"/>
    <s v="TRK95462192"/>
    <n v="1"/>
    <s v="NO COUPON"/>
    <x v="4"/>
    <x v="302"/>
    <m/>
  </r>
  <r>
    <s v="ORD200304"/>
    <x v="266"/>
    <s v="C86762"/>
    <x v="0"/>
    <n v="5"/>
    <n v="408.73"/>
    <s v="326 Main St"/>
    <x v="3"/>
    <x v="3"/>
    <s v="TRK75686292"/>
    <n v="10"/>
    <s v="FREESHIP"/>
    <x v="0"/>
    <x v="303"/>
    <m/>
  </r>
  <r>
    <s v="ORD200305"/>
    <x v="97"/>
    <s v="C63822"/>
    <x v="5"/>
    <n v="4"/>
    <n v="126.89"/>
    <s v="235 Main St"/>
    <x v="4"/>
    <x v="4"/>
    <s v="TRK59353216"/>
    <n v="9"/>
    <s v="FREESHIP"/>
    <x v="0"/>
    <x v="304"/>
    <m/>
  </r>
  <r>
    <s v="ORD200306"/>
    <x v="267"/>
    <s v="C70495"/>
    <x v="4"/>
    <n v="2"/>
    <n v="57.07"/>
    <s v="238 Main St"/>
    <x v="0"/>
    <x v="2"/>
    <s v="TRK65511225"/>
    <n v="3"/>
    <s v="SAVE10"/>
    <x v="0"/>
    <x v="305"/>
    <m/>
  </r>
  <r>
    <s v="ORD200307"/>
    <x v="268"/>
    <s v="C92407"/>
    <x v="5"/>
    <n v="3"/>
    <n v="557.41"/>
    <s v="135 Main St"/>
    <x v="1"/>
    <x v="3"/>
    <s v="TRK11755610"/>
    <n v="4"/>
    <s v="NO COUPON"/>
    <x v="2"/>
    <x v="306"/>
    <m/>
  </r>
  <r>
    <s v="ORD200308"/>
    <x v="66"/>
    <s v="C75888"/>
    <x v="4"/>
    <n v="3"/>
    <n v="448.9"/>
    <s v="790 Main St"/>
    <x v="0"/>
    <x v="2"/>
    <s v="TRK98467398"/>
    <n v="7"/>
    <s v="SAVE10"/>
    <x v="0"/>
    <x v="307"/>
    <m/>
  </r>
  <r>
    <s v="ORD200309"/>
    <x v="269"/>
    <s v="C63153"/>
    <x v="3"/>
    <n v="4"/>
    <n v="549.76"/>
    <s v="625 Main St"/>
    <x v="0"/>
    <x v="3"/>
    <s v="TRK38033305"/>
    <n v="4"/>
    <s v="FREESHIP"/>
    <x v="3"/>
    <x v="308"/>
    <m/>
  </r>
  <r>
    <s v="ORD200310"/>
    <x v="270"/>
    <s v="C85863"/>
    <x v="4"/>
    <n v="3"/>
    <n v="132.47999999999999"/>
    <s v="968 Main St"/>
    <x v="1"/>
    <x v="0"/>
    <s v="TRK16094218"/>
    <n v="4"/>
    <s v="NO COUPON"/>
    <x v="1"/>
    <x v="309"/>
    <m/>
  </r>
  <r>
    <s v="ORD200311"/>
    <x v="271"/>
    <s v="C71698"/>
    <x v="6"/>
    <n v="5"/>
    <n v="489.37"/>
    <s v="274 Main St"/>
    <x v="1"/>
    <x v="2"/>
    <s v="TRK34786818"/>
    <n v="8"/>
    <s v="NO COUPON"/>
    <x v="0"/>
    <x v="310"/>
    <m/>
  </r>
  <r>
    <s v="ORD200312"/>
    <x v="272"/>
    <s v="C35397"/>
    <x v="4"/>
    <n v="5"/>
    <n v="66.31"/>
    <s v="579 Main St"/>
    <x v="3"/>
    <x v="4"/>
    <s v="TRK64742535"/>
    <n v="7"/>
    <s v="FREESHIP"/>
    <x v="1"/>
    <x v="311"/>
    <m/>
  </r>
  <r>
    <s v="ORD200313"/>
    <x v="273"/>
    <s v="C67687"/>
    <x v="3"/>
    <n v="2"/>
    <n v="434.3"/>
    <s v="978 Main St"/>
    <x v="4"/>
    <x v="3"/>
    <s v="TRK22838735"/>
    <n v="7"/>
    <s v="SAVE10"/>
    <x v="0"/>
    <x v="312"/>
    <m/>
  </r>
  <r>
    <s v="ORD200314"/>
    <x v="274"/>
    <s v="C29931"/>
    <x v="6"/>
    <n v="4"/>
    <n v="153.09"/>
    <s v="540 Main St"/>
    <x v="1"/>
    <x v="3"/>
    <s v="TRK48712417"/>
    <n v="4"/>
    <s v="FREESHIP"/>
    <x v="1"/>
    <x v="313"/>
    <m/>
  </r>
  <r>
    <s v="ORD200315"/>
    <x v="275"/>
    <s v="C59139"/>
    <x v="2"/>
    <n v="5"/>
    <n v="91.67"/>
    <s v="301 Main St"/>
    <x v="1"/>
    <x v="1"/>
    <s v="TRK45507090"/>
    <n v="9"/>
    <s v="FREESHIP"/>
    <x v="2"/>
    <x v="314"/>
    <m/>
  </r>
  <r>
    <s v="ORD200316"/>
    <x v="276"/>
    <s v="C66078"/>
    <x v="6"/>
    <n v="4"/>
    <n v="275.27999999999997"/>
    <s v="101 Main St"/>
    <x v="3"/>
    <x v="0"/>
    <s v="TRK86474559"/>
    <n v="9"/>
    <s v="WINTER15"/>
    <x v="3"/>
    <x v="315"/>
    <m/>
  </r>
  <r>
    <s v="ORD200317"/>
    <x v="132"/>
    <s v="C88370"/>
    <x v="0"/>
    <n v="2"/>
    <n v="139.94999999999999"/>
    <s v="339 Main St"/>
    <x v="1"/>
    <x v="2"/>
    <s v="TRK22575151"/>
    <n v="5"/>
    <s v="NO COUPON"/>
    <x v="0"/>
    <x v="316"/>
    <m/>
  </r>
  <r>
    <s v="ORD200318"/>
    <x v="277"/>
    <s v="C93375"/>
    <x v="3"/>
    <n v="3"/>
    <n v="148.72"/>
    <s v="317 Main St"/>
    <x v="0"/>
    <x v="1"/>
    <s v="TRK95706967"/>
    <n v="7"/>
    <s v="SAVE10"/>
    <x v="4"/>
    <x v="317"/>
    <m/>
  </r>
  <r>
    <s v="ORD200319"/>
    <x v="278"/>
    <s v="C53049"/>
    <x v="5"/>
    <n v="2"/>
    <n v="563.05999999999995"/>
    <s v="413 Main St"/>
    <x v="4"/>
    <x v="2"/>
    <s v="TRK48974907"/>
    <n v="6"/>
    <s v="NO COUPON"/>
    <x v="0"/>
    <x v="318"/>
    <m/>
  </r>
  <r>
    <s v="ORD200320"/>
    <x v="36"/>
    <s v="C55590"/>
    <x v="4"/>
    <n v="1"/>
    <n v="625.51"/>
    <s v="772 Main St"/>
    <x v="2"/>
    <x v="0"/>
    <s v="TRK48792951"/>
    <n v="1"/>
    <s v="FREESHIP"/>
    <x v="3"/>
    <x v="319"/>
    <m/>
  </r>
  <r>
    <s v="ORD200321"/>
    <x v="279"/>
    <s v="C47086"/>
    <x v="1"/>
    <n v="4"/>
    <n v="152.29"/>
    <s v="135 Main St"/>
    <x v="0"/>
    <x v="1"/>
    <s v="TRK44194358"/>
    <n v="6"/>
    <s v="WINTER15"/>
    <x v="4"/>
    <x v="320"/>
    <m/>
  </r>
  <r>
    <s v="ORD200322"/>
    <x v="280"/>
    <s v="C48646"/>
    <x v="1"/>
    <n v="5"/>
    <n v="231.82"/>
    <s v="339 Main St"/>
    <x v="0"/>
    <x v="3"/>
    <s v="TRK18233748"/>
    <n v="6"/>
    <s v="SAVE10"/>
    <x v="3"/>
    <x v="321"/>
    <m/>
  </r>
  <r>
    <s v="ORD200323"/>
    <x v="281"/>
    <s v="C29416"/>
    <x v="5"/>
    <n v="1"/>
    <n v="150.16999999999999"/>
    <s v="414 Main St"/>
    <x v="0"/>
    <x v="2"/>
    <s v="TRK63820842"/>
    <n v="1"/>
    <s v="SAVE10"/>
    <x v="1"/>
    <x v="322"/>
    <m/>
  </r>
  <r>
    <s v="ORD200324"/>
    <x v="136"/>
    <s v="C13525"/>
    <x v="2"/>
    <n v="3"/>
    <n v="70.930000000000007"/>
    <s v="847 Main St"/>
    <x v="0"/>
    <x v="2"/>
    <s v="TRK70193221"/>
    <n v="5"/>
    <s v="NO COUPON"/>
    <x v="1"/>
    <x v="323"/>
    <m/>
  </r>
  <r>
    <s v="ORD200325"/>
    <x v="282"/>
    <s v="C53545"/>
    <x v="6"/>
    <n v="3"/>
    <n v="361.39"/>
    <s v="665 Main St"/>
    <x v="2"/>
    <x v="0"/>
    <s v="TRK61123177"/>
    <n v="8"/>
    <s v="NO COUPON"/>
    <x v="1"/>
    <x v="324"/>
    <m/>
  </r>
  <r>
    <s v="ORD200326"/>
    <x v="283"/>
    <s v="C65986"/>
    <x v="5"/>
    <n v="5"/>
    <n v="670.48"/>
    <s v="273 Main St"/>
    <x v="3"/>
    <x v="2"/>
    <s v="TRK98353867"/>
    <n v="5"/>
    <s v="SAVE10"/>
    <x v="3"/>
    <x v="325"/>
    <m/>
  </r>
  <r>
    <s v="ORD200327"/>
    <x v="284"/>
    <s v="C17302"/>
    <x v="1"/>
    <n v="1"/>
    <n v="359.99"/>
    <s v="385 Main St"/>
    <x v="3"/>
    <x v="1"/>
    <s v="TRK43940016"/>
    <n v="5"/>
    <s v="SAVE10"/>
    <x v="2"/>
    <x v="326"/>
    <m/>
  </r>
  <r>
    <s v="ORD200328"/>
    <x v="285"/>
    <s v="C18404"/>
    <x v="2"/>
    <n v="5"/>
    <n v="674.04"/>
    <s v="546 Main St"/>
    <x v="1"/>
    <x v="1"/>
    <s v="TRK89401624"/>
    <n v="7"/>
    <s v="SAVE10"/>
    <x v="4"/>
    <x v="327"/>
    <m/>
  </r>
  <r>
    <s v="ORD200329"/>
    <x v="286"/>
    <s v="C88371"/>
    <x v="3"/>
    <n v="4"/>
    <n v="283.16000000000003"/>
    <s v="306 Main St"/>
    <x v="2"/>
    <x v="0"/>
    <s v="TRK63224811"/>
    <n v="6"/>
    <s v="NO COUPON"/>
    <x v="4"/>
    <x v="328"/>
    <m/>
  </r>
  <r>
    <s v="ORD200330"/>
    <x v="287"/>
    <s v="C38068"/>
    <x v="6"/>
    <n v="5"/>
    <n v="260.52999999999997"/>
    <s v="532 Main St"/>
    <x v="3"/>
    <x v="4"/>
    <s v="TRK54059198"/>
    <n v="5"/>
    <s v="SAVE10"/>
    <x v="0"/>
    <x v="329"/>
    <m/>
  </r>
  <r>
    <s v="ORD200331"/>
    <x v="288"/>
    <s v="C78724"/>
    <x v="4"/>
    <n v="3"/>
    <n v="422.13"/>
    <s v="187 Main St"/>
    <x v="1"/>
    <x v="3"/>
    <s v="TRK25703134"/>
    <n v="7"/>
    <s v="SAVE10"/>
    <x v="3"/>
    <x v="330"/>
    <m/>
  </r>
  <r>
    <s v="ORD200332"/>
    <x v="289"/>
    <s v="C26163"/>
    <x v="6"/>
    <n v="5"/>
    <n v="125.02"/>
    <s v="607 Main St"/>
    <x v="0"/>
    <x v="4"/>
    <s v="TRK67499316"/>
    <n v="9"/>
    <s v="SAVE10"/>
    <x v="4"/>
    <x v="331"/>
    <m/>
  </r>
  <r>
    <s v="ORD200333"/>
    <x v="162"/>
    <s v="C87124"/>
    <x v="1"/>
    <n v="1"/>
    <n v="198.51"/>
    <s v="818 Main St"/>
    <x v="2"/>
    <x v="2"/>
    <s v="TRK52086740"/>
    <n v="5"/>
    <s v="WINTER15"/>
    <x v="0"/>
    <x v="332"/>
    <m/>
  </r>
  <r>
    <s v="ORD200334"/>
    <x v="290"/>
    <s v="C90348"/>
    <x v="3"/>
    <n v="4"/>
    <n v="224.75"/>
    <s v="728 Main St"/>
    <x v="1"/>
    <x v="3"/>
    <s v="TRK20635777"/>
    <n v="7"/>
    <s v="WINTER15"/>
    <x v="3"/>
    <x v="333"/>
    <m/>
  </r>
  <r>
    <s v="ORD200335"/>
    <x v="291"/>
    <s v="C58721"/>
    <x v="2"/>
    <n v="3"/>
    <n v="205.86"/>
    <s v="978 Main St"/>
    <x v="3"/>
    <x v="0"/>
    <s v="TRK34801199"/>
    <n v="4"/>
    <s v="NO COUPON"/>
    <x v="2"/>
    <x v="334"/>
    <m/>
  </r>
  <r>
    <s v="ORD200336"/>
    <x v="10"/>
    <s v="C88174"/>
    <x v="5"/>
    <n v="1"/>
    <n v="18.2"/>
    <s v="441 Main St"/>
    <x v="0"/>
    <x v="4"/>
    <s v="TRK10143345"/>
    <n v="4"/>
    <s v="SAVE10"/>
    <x v="0"/>
    <x v="335"/>
    <m/>
  </r>
  <r>
    <s v="ORD200337"/>
    <x v="292"/>
    <s v="C77763"/>
    <x v="2"/>
    <n v="3"/>
    <n v="502.77"/>
    <s v="599 Main St"/>
    <x v="0"/>
    <x v="2"/>
    <s v="TRK66980447"/>
    <n v="8"/>
    <s v="WINTER15"/>
    <x v="2"/>
    <x v="336"/>
    <m/>
  </r>
  <r>
    <s v="ORD200338"/>
    <x v="293"/>
    <s v="C53627"/>
    <x v="1"/>
    <n v="5"/>
    <n v="305.49"/>
    <s v="704 Main St"/>
    <x v="0"/>
    <x v="0"/>
    <s v="TRK64112352"/>
    <n v="10"/>
    <s v="NO COUPON"/>
    <x v="1"/>
    <x v="337"/>
    <m/>
  </r>
  <r>
    <s v="ORD200339"/>
    <x v="294"/>
    <s v="C84563"/>
    <x v="4"/>
    <n v="2"/>
    <n v="236.33"/>
    <s v="398 Main St"/>
    <x v="1"/>
    <x v="4"/>
    <s v="TRK62422797"/>
    <n v="3"/>
    <s v="SAVE10"/>
    <x v="0"/>
    <x v="338"/>
    <m/>
  </r>
  <r>
    <s v="ORD200340"/>
    <x v="295"/>
    <s v="C76207"/>
    <x v="5"/>
    <n v="5"/>
    <n v="521.25"/>
    <s v="826 Main St"/>
    <x v="4"/>
    <x v="1"/>
    <s v="TRK25569378"/>
    <n v="8"/>
    <s v="NO COUPON"/>
    <x v="2"/>
    <x v="339"/>
    <m/>
  </r>
  <r>
    <s v="ORD200341"/>
    <x v="296"/>
    <s v="C94671"/>
    <x v="2"/>
    <n v="1"/>
    <n v="167.15"/>
    <s v="293 Main St"/>
    <x v="3"/>
    <x v="0"/>
    <s v="TRK61357272"/>
    <n v="5"/>
    <s v="WINTER15"/>
    <x v="2"/>
    <x v="340"/>
    <m/>
  </r>
  <r>
    <s v="ORD200342"/>
    <x v="53"/>
    <s v="C69994"/>
    <x v="0"/>
    <n v="5"/>
    <n v="466.42"/>
    <s v="619 Main St"/>
    <x v="3"/>
    <x v="2"/>
    <s v="TRK95935805"/>
    <n v="5"/>
    <s v="NO COUPON"/>
    <x v="1"/>
    <x v="341"/>
    <m/>
  </r>
  <r>
    <s v="ORD200343"/>
    <x v="297"/>
    <s v="C64638"/>
    <x v="4"/>
    <n v="1"/>
    <n v="527.57000000000005"/>
    <s v="919 Main St"/>
    <x v="0"/>
    <x v="4"/>
    <s v="TRK64087938"/>
    <n v="3"/>
    <s v="FREESHIP"/>
    <x v="3"/>
    <x v="342"/>
    <m/>
  </r>
  <r>
    <s v="ORD200344"/>
    <x v="298"/>
    <s v="C95623"/>
    <x v="2"/>
    <n v="3"/>
    <n v="623.34"/>
    <s v="248 Main St"/>
    <x v="1"/>
    <x v="1"/>
    <s v="TRK67558189"/>
    <n v="3"/>
    <s v="SAVE10"/>
    <x v="0"/>
    <x v="343"/>
    <m/>
  </r>
  <r>
    <s v="ORD200345"/>
    <x v="173"/>
    <s v="C24751"/>
    <x v="2"/>
    <n v="5"/>
    <n v="501.26"/>
    <s v="259 Main St"/>
    <x v="3"/>
    <x v="0"/>
    <s v="TRK37285406"/>
    <n v="10"/>
    <s v="FREESHIP"/>
    <x v="1"/>
    <x v="344"/>
    <m/>
  </r>
  <r>
    <s v="ORD200346"/>
    <x v="299"/>
    <s v="C31764"/>
    <x v="2"/>
    <n v="1"/>
    <n v="655.09"/>
    <s v="876 Main St"/>
    <x v="4"/>
    <x v="4"/>
    <s v="TRK44680433"/>
    <n v="6"/>
    <s v="NO COUPON"/>
    <x v="1"/>
    <x v="345"/>
    <m/>
  </r>
  <r>
    <s v="ORD200347"/>
    <x v="300"/>
    <s v="C83556"/>
    <x v="4"/>
    <n v="4"/>
    <n v="264.79000000000002"/>
    <s v="380 Main St"/>
    <x v="2"/>
    <x v="4"/>
    <s v="TRK21109187"/>
    <n v="5"/>
    <s v="SAVE10"/>
    <x v="4"/>
    <x v="346"/>
    <m/>
  </r>
  <r>
    <s v="ORD200348"/>
    <x v="206"/>
    <s v="C24369"/>
    <x v="5"/>
    <n v="3"/>
    <n v="359.73"/>
    <s v="885 Main St"/>
    <x v="0"/>
    <x v="2"/>
    <s v="TRK72633998"/>
    <n v="7"/>
    <s v="FREESHIP"/>
    <x v="2"/>
    <x v="347"/>
    <m/>
  </r>
  <r>
    <s v="ORD200349"/>
    <x v="115"/>
    <s v="C39648"/>
    <x v="3"/>
    <n v="1"/>
    <n v="465.33"/>
    <s v="824 Main St"/>
    <x v="3"/>
    <x v="3"/>
    <s v="TRK56016905"/>
    <n v="2"/>
    <s v="FREESHIP"/>
    <x v="4"/>
    <x v="348"/>
    <m/>
  </r>
  <r>
    <s v="ORD200350"/>
    <x v="301"/>
    <s v="C13296"/>
    <x v="3"/>
    <n v="2"/>
    <n v="54.41"/>
    <s v="495 Main St"/>
    <x v="1"/>
    <x v="0"/>
    <s v="TRK60127216"/>
    <n v="6"/>
    <s v="NO COUPON"/>
    <x v="0"/>
    <x v="349"/>
    <m/>
  </r>
  <r>
    <s v="ORD200351"/>
    <x v="302"/>
    <s v="C94248"/>
    <x v="5"/>
    <n v="1"/>
    <n v="64.66"/>
    <s v="494 Main St"/>
    <x v="0"/>
    <x v="3"/>
    <s v="TRK89406816"/>
    <n v="4"/>
    <s v="NO COUPON"/>
    <x v="0"/>
    <x v="350"/>
    <m/>
  </r>
  <r>
    <s v="ORD200352"/>
    <x v="303"/>
    <s v="C26637"/>
    <x v="3"/>
    <n v="5"/>
    <n v="173.96"/>
    <s v="995 Main St"/>
    <x v="0"/>
    <x v="4"/>
    <s v="TRK59546992"/>
    <n v="8"/>
    <s v="WINTER15"/>
    <x v="0"/>
    <x v="351"/>
    <m/>
  </r>
  <r>
    <s v="ORD200353"/>
    <x v="210"/>
    <s v="C16012"/>
    <x v="2"/>
    <n v="1"/>
    <n v="630.82000000000005"/>
    <s v="171 Main St"/>
    <x v="1"/>
    <x v="3"/>
    <s v="TRK15195225"/>
    <n v="5"/>
    <s v="FREESHIP"/>
    <x v="4"/>
    <x v="352"/>
    <m/>
  </r>
  <r>
    <s v="ORD200354"/>
    <x v="304"/>
    <s v="C31772"/>
    <x v="1"/>
    <n v="1"/>
    <n v="693.41"/>
    <s v="992 Main St"/>
    <x v="0"/>
    <x v="0"/>
    <s v="TRK11970357"/>
    <n v="4"/>
    <s v="NO COUPON"/>
    <x v="0"/>
    <x v="353"/>
    <m/>
  </r>
  <r>
    <s v="ORD200355"/>
    <x v="305"/>
    <s v="C18353"/>
    <x v="2"/>
    <n v="3"/>
    <n v="433.33"/>
    <s v="677 Main St"/>
    <x v="2"/>
    <x v="1"/>
    <s v="TRK78766533"/>
    <n v="4"/>
    <s v="FREESHIP"/>
    <x v="1"/>
    <x v="354"/>
    <m/>
  </r>
  <r>
    <s v="ORD200356"/>
    <x v="306"/>
    <s v="C26966"/>
    <x v="4"/>
    <n v="5"/>
    <n v="374.58"/>
    <s v="907 Main St"/>
    <x v="3"/>
    <x v="1"/>
    <s v="TRK83889574"/>
    <n v="10"/>
    <s v="FREESHIP"/>
    <x v="0"/>
    <x v="355"/>
    <m/>
  </r>
  <r>
    <s v="ORD200357"/>
    <x v="307"/>
    <s v="C74982"/>
    <x v="5"/>
    <n v="5"/>
    <n v="408.56"/>
    <s v="398 Main St"/>
    <x v="0"/>
    <x v="3"/>
    <s v="TRK98700702"/>
    <n v="8"/>
    <s v="FREESHIP"/>
    <x v="0"/>
    <x v="356"/>
    <m/>
  </r>
  <r>
    <s v="ORD200358"/>
    <x v="158"/>
    <s v="C70633"/>
    <x v="2"/>
    <n v="2"/>
    <n v="183.67"/>
    <s v="747 Main St"/>
    <x v="1"/>
    <x v="1"/>
    <s v="TRK82540521"/>
    <n v="3"/>
    <s v="SAVE10"/>
    <x v="4"/>
    <x v="357"/>
    <m/>
  </r>
  <r>
    <s v="ORD200359"/>
    <x v="308"/>
    <s v="C95643"/>
    <x v="6"/>
    <n v="4"/>
    <n v="606.57000000000005"/>
    <s v="303 Main St"/>
    <x v="0"/>
    <x v="3"/>
    <s v="TRK23286689"/>
    <n v="5"/>
    <s v="WINTER15"/>
    <x v="1"/>
    <x v="358"/>
    <m/>
  </r>
  <r>
    <s v="ORD200360"/>
    <x v="309"/>
    <s v="C53810"/>
    <x v="1"/>
    <n v="4"/>
    <n v="589.57000000000005"/>
    <s v="779 Main St"/>
    <x v="4"/>
    <x v="4"/>
    <s v="TRK34630612"/>
    <n v="8"/>
    <s v="NO COUPON"/>
    <x v="0"/>
    <x v="359"/>
    <m/>
  </r>
  <r>
    <s v="ORD200361"/>
    <x v="310"/>
    <s v="C53464"/>
    <x v="4"/>
    <n v="5"/>
    <n v="659.85"/>
    <s v="197 Main St"/>
    <x v="2"/>
    <x v="3"/>
    <s v="TRK32743531"/>
    <n v="9"/>
    <s v="SAVE10"/>
    <x v="3"/>
    <x v="360"/>
    <m/>
  </r>
  <r>
    <s v="ORD200362"/>
    <x v="78"/>
    <s v="C53697"/>
    <x v="0"/>
    <n v="4"/>
    <n v="206.84"/>
    <s v="312 Main St"/>
    <x v="4"/>
    <x v="1"/>
    <s v="TRK60476656"/>
    <n v="5"/>
    <s v="WINTER15"/>
    <x v="0"/>
    <x v="361"/>
    <m/>
  </r>
  <r>
    <s v="ORD200363"/>
    <x v="75"/>
    <s v="C31668"/>
    <x v="5"/>
    <n v="5"/>
    <n v="113.87"/>
    <s v="871 Main St"/>
    <x v="2"/>
    <x v="4"/>
    <s v="TRK42584392"/>
    <n v="6"/>
    <s v="SAVE10"/>
    <x v="2"/>
    <x v="362"/>
    <m/>
  </r>
  <r>
    <s v="ORD200364"/>
    <x v="254"/>
    <s v="C85282"/>
    <x v="1"/>
    <n v="5"/>
    <n v="628.74"/>
    <s v="740 Main St"/>
    <x v="4"/>
    <x v="1"/>
    <s v="TRK86767206"/>
    <n v="9"/>
    <s v="FREESHIP"/>
    <x v="3"/>
    <x v="363"/>
    <m/>
  </r>
  <r>
    <s v="ORD200365"/>
    <x v="311"/>
    <s v="C56796"/>
    <x v="1"/>
    <n v="1"/>
    <n v="678.38"/>
    <s v="607 Main St"/>
    <x v="2"/>
    <x v="1"/>
    <s v="TRK74263180"/>
    <n v="4"/>
    <s v="SAVE10"/>
    <x v="1"/>
    <x v="364"/>
    <m/>
  </r>
  <r>
    <s v="ORD200366"/>
    <x v="312"/>
    <s v="C95213"/>
    <x v="4"/>
    <n v="3"/>
    <n v="602.24"/>
    <s v="603 Main St"/>
    <x v="0"/>
    <x v="4"/>
    <s v="TRK40630538"/>
    <n v="8"/>
    <s v="NO COUPON"/>
    <x v="1"/>
    <x v="365"/>
    <m/>
  </r>
  <r>
    <s v="ORD200367"/>
    <x v="313"/>
    <s v="C13108"/>
    <x v="5"/>
    <n v="5"/>
    <n v="658.77"/>
    <s v="712 Main St"/>
    <x v="3"/>
    <x v="4"/>
    <s v="TRK82284400"/>
    <n v="10"/>
    <s v="FREESHIP"/>
    <x v="0"/>
    <x v="366"/>
    <m/>
  </r>
  <r>
    <s v="ORD200368"/>
    <x v="31"/>
    <s v="C85322"/>
    <x v="0"/>
    <n v="3"/>
    <n v="271.02"/>
    <s v="403 Main St"/>
    <x v="2"/>
    <x v="1"/>
    <s v="TRK89728869"/>
    <n v="6"/>
    <s v="NO COUPON"/>
    <x v="4"/>
    <x v="367"/>
    <m/>
  </r>
  <r>
    <s v="ORD200369"/>
    <x v="70"/>
    <s v="C43545"/>
    <x v="0"/>
    <n v="5"/>
    <n v="375.25"/>
    <s v="216 Main St"/>
    <x v="3"/>
    <x v="4"/>
    <s v="TRK73937402"/>
    <n v="9"/>
    <s v="SAVE10"/>
    <x v="2"/>
    <x v="368"/>
    <m/>
  </r>
  <r>
    <s v="ORD200370"/>
    <x v="120"/>
    <s v="C80649"/>
    <x v="1"/>
    <n v="1"/>
    <n v="312.11"/>
    <s v="870 Main St"/>
    <x v="1"/>
    <x v="1"/>
    <s v="TRK41143313"/>
    <n v="4"/>
    <s v="WINTER15"/>
    <x v="3"/>
    <x v="369"/>
    <m/>
  </r>
  <r>
    <s v="ORD200371"/>
    <x v="314"/>
    <s v="C59752"/>
    <x v="1"/>
    <n v="5"/>
    <n v="307.76"/>
    <s v="179 Main St"/>
    <x v="3"/>
    <x v="4"/>
    <s v="TRK82229639"/>
    <n v="9"/>
    <s v="FREESHIP"/>
    <x v="4"/>
    <x v="370"/>
    <m/>
  </r>
  <r>
    <s v="ORD200372"/>
    <x v="311"/>
    <s v="C53645"/>
    <x v="3"/>
    <n v="3"/>
    <n v="483.53"/>
    <s v="166 Main St"/>
    <x v="4"/>
    <x v="2"/>
    <s v="TRK12123939"/>
    <n v="4"/>
    <s v="NO COUPON"/>
    <x v="1"/>
    <x v="371"/>
    <m/>
  </r>
  <r>
    <s v="ORD200373"/>
    <x v="315"/>
    <s v="C60178"/>
    <x v="5"/>
    <n v="3"/>
    <n v="341.15"/>
    <s v="969 Main St"/>
    <x v="4"/>
    <x v="4"/>
    <s v="TRK84505143"/>
    <n v="4"/>
    <s v="FREESHIP"/>
    <x v="0"/>
    <x v="372"/>
    <m/>
  </r>
  <r>
    <s v="ORD200374"/>
    <x v="316"/>
    <s v="C20286"/>
    <x v="0"/>
    <n v="1"/>
    <n v="571.9"/>
    <s v="129 Main St"/>
    <x v="3"/>
    <x v="4"/>
    <s v="TRK67648338"/>
    <n v="1"/>
    <s v="WINTER15"/>
    <x v="0"/>
    <x v="373"/>
    <m/>
  </r>
  <r>
    <s v="ORD200375"/>
    <x v="317"/>
    <s v="C87547"/>
    <x v="0"/>
    <n v="4"/>
    <n v="95.03"/>
    <s v="400 Main St"/>
    <x v="1"/>
    <x v="0"/>
    <s v="TRK71027262"/>
    <n v="8"/>
    <s v="FREESHIP"/>
    <x v="3"/>
    <x v="374"/>
    <m/>
  </r>
  <r>
    <s v="ORD200376"/>
    <x v="318"/>
    <s v="C64549"/>
    <x v="0"/>
    <n v="5"/>
    <n v="201.22"/>
    <s v="341 Main St"/>
    <x v="0"/>
    <x v="4"/>
    <s v="TRK20788231"/>
    <n v="6"/>
    <s v="FREESHIP"/>
    <x v="3"/>
    <x v="375"/>
    <m/>
  </r>
  <r>
    <s v="ORD200377"/>
    <x v="319"/>
    <s v="C24884"/>
    <x v="0"/>
    <n v="1"/>
    <n v="260.26"/>
    <s v="625 Main St"/>
    <x v="1"/>
    <x v="4"/>
    <s v="TRK44538419"/>
    <n v="5"/>
    <s v="WINTER15"/>
    <x v="0"/>
    <x v="376"/>
    <m/>
  </r>
  <r>
    <s v="ORD200378"/>
    <x v="320"/>
    <s v="C62666"/>
    <x v="3"/>
    <n v="5"/>
    <n v="64.5"/>
    <s v="148 Main St"/>
    <x v="2"/>
    <x v="4"/>
    <s v="TRK91029390"/>
    <n v="8"/>
    <s v="WINTER15"/>
    <x v="0"/>
    <x v="377"/>
    <m/>
  </r>
  <r>
    <s v="ORD200379"/>
    <x v="321"/>
    <s v="C47284"/>
    <x v="1"/>
    <n v="3"/>
    <n v="297.67"/>
    <s v="500 Main St"/>
    <x v="1"/>
    <x v="0"/>
    <s v="TRK85756094"/>
    <n v="6"/>
    <s v="NO COUPON"/>
    <x v="4"/>
    <x v="378"/>
    <m/>
  </r>
  <r>
    <s v="ORD200380"/>
    <x v="322"/>
    <s v="C35355"/>
    <x v="4"/>
    <n v="4"/>
    <n v="331.9"/>
    <s v="127 Main St"/>
    <x v="4"/>
    <x v="4"/>
    <s v="TRK52935059"/>
    <n v="5"/>
    <s v="SAVE10"/>
    <x v="0"/>
    <x v="379"/>
    <m/>
  </r>
  <r>
    <s v="ORD200381"/>
    <x v="323"/>
    <s v="C29467"/>
    <x v="3"/>
    <n v="1"/>
    <n v="191.76"/>
    <s v="223 Main St"/>
    <x v="2"/>
    <x v="2"/>
    <s v="TRK98103385"/>
    <n v="1"/>
    <s v="FREESHIP"/>
    <x v="0"/>
    <x v="380"/>
    <m/>
  </r>
  <r>
    <s v="ORD200382"/>
    <x v="324"/>
    <s v="C26718"/>
    <x v="4"/>
    <n v="4"/>
    <n v="263.08999999999997"/>
    <s v="272 Main St"/>
    <x v="0"/>
    <x v="0"/>
    <s v="TRK91702525"/>
    <n v="8"/>
    <s v="SAVE10"/>
    <x v="4"/>
    <x v="381"/>
    <m/>
  </r>
  <r>
    <s v="ORD200383"/>
    <x v="325"/>
    <s v="C18944"/>
    <x v="3"/>
    <n v="4"/>
    <n v="393.8"/>
    <s v="837 Main St"/>
    <x v="2"/>
    <x v="4"/>
    <s v="TRK45275439"/>
    <n v="7"/>
    <s v="SAVE10"/>
    <x v="2"/>
    <x v="382"/>
    <m/>
  </r>
  <r>
    <s v="ORD200384"/>
    <x v="167"/>
    <s v="C35628"/>
    <x v="3"/>
    <n v="3"/>
    <n v="553.57000000000005"/>
    <s v="147 Main St"/>
    <x v="2"/>
    <x v="2"/>
    <s v="TRK45688220"/>
    <n v="4"/>
    <s v="FREESHIP"/>
    <x v="3"/>
    <x v="383"/>
    <m/>
  </r>
  <r>
    <s v="ORD200385"/>
    <x v="150"/>
    <s v="C56851"/>
    <x v="3"/>
    <n v="5"/>
    <n v="191.63"/>
    <s v="752 Main St"/>
    <x v="3"/>
    <x v="3"/>
    <s v="TRK65290904"/>
    <n v="6"/>
    <s v="FREESHIP"/>
    <x v="3"/>
    <x v="384"/>
    <m/>
  </r>
  <r>
    <s v="ORD200386"/>
    <x v="200"/>
    <s v="C12421"/>
    <x v="2"/>
    <n v="1"/>
    <n v="93.02"/>
    <s v="373 Main St"/>
    <x v="1"/>
    <x v="2"/>
    <s v="TRK32588504"/>
    <n v="4"/>
    <s v="NO COUPON"/>
    <x v="2"/>
    <x v="385"/>
    <m/>
  </r>
  <r>
    <s v="ORD200387"/>
    <x v="326"/>
    <s v="C25316"/>
    <x v="4"/>
    <n v="2"/>
    <n v="39.53"/>
    <s v="904 Main St"/>
    <x v="2"/>
    <x v="0"/>
    <s v="TRK55423551"/>
    <n v="3"/>
    <s v="WINTER15"/>
    <x v="4"/>
    <x v="386"/>
    <m/>
  </r>
  <r>
    <s v="ORD200388"/>
    <x v="153"/>
    <s v="C22657"/>
    <x v="4"/>
    <n v="3"/>
    <n v="633.97"/>
    <s v="152 Main St"/>
    <x v="4"/>
    <x v="4"/>
    <s v="TRK49157047"/>
    <n v="7"/>
    <s v="WINTER15"/>
    <x v="3"/>
    <x v="387"/>
    <m/>
  </r>
  <r>
    <s v="ORD200389"/>
    <x v="327"/>
    <s v="C29703"/>
    <x v="6"/>
    <n v="4"/>
    <n v="697.5"/>
    <s v="558 Main St"/>
    <x v="4"/>
    <x v="0"/>
    <s v="TRK40543461"/>
    <n v="7"/>
    <s v="FREESHIP"/>
    <x v="1"/>
    <x v="388"/>
    <m/>
  </r>
  <r>
    <s v="ORD200390"/>
    <x v="328"/>
    <s v="C55996"/>
    <x v="4"/>
    <n v="5"/>
    <n v="508.69"/>
    <s v="885 Main St"/>
    <x v="4"/>
    <x v="3"/>
    <s v="TRK30547638"/>
    <n v="10"/>
    <s v="FREESHIP"/>
    <x v="4"/>
    <x v="389"/>
    <m/>
  </r>
  <r>
    <s v="ORD200391"/>
    <x v="317"/>
    <s v="C60037"/>
    <x v="5"/>
    <n v="2"/>
    <n v="527.46"/>
    <s v="516 Main St"/>
    <x v="0"/>
    <x v="1"/>
    <s v="TRK82009557"/>
    <n v="3"/>
    <s v="FREESHIP"/>
    <x v="1"/>
    <x v="390"/>
    <m/>
  </r>
  <r>
    <s v="ORD200392"/>
    <x v="329"/>
    <s v="C95100"/>
    <x v="1"/>
    <n v="1"/>
    <n v="627.20000000000005"/>
    <s v="197 Main St"/>
    <x v="1"/>
    <x v="3"/>
    <s v="TRK47366265"/>
    <n v="1"/>
    <s v="WINTER15"/>
    <x v="2"/>
    <x v="391"/>
    <m/>
  </r>
  <r>
    <s v="ORD200393"/>
    <x v="330"/>
    <s v="C39906"/>
    <x v="4"/>
    <n v="1"/>
    <n v="75.010000000000005"/>
    <s v="921 Main St"/>
    <x v="2"/>
    <x v="2"/>
    <s v="TRK24632134"/>
    <n v="3"/>
    <s v="NO COUPON"/>
    <x v="4"/>
    <x v="392"/>
    <m/>
  </r>
  <r>
    <s v="ORD200394"/>
    <x v="176"/>
    <s v="C70148"/>
    <x v="6"/>
    <n v="5"/>
    <n v="529.54999999999995"/>
    <s v="359 Main St"/>
    <x v="3"/>
    <x v="0"/>
    <s v="TRK34848650"/>
    <n v="10"/>
    <s v="NO COUPON"/>
    <x v="3"/>
    <x v="393"/>
    <m/>
  </r>
  <r>
    <s v="ORD200395"/>
    <x v="331"/>
    <s v="C30010"/>
    <x v="1"/>
    <n v="3"/>
    <n v="127.41"/>
    <s v="830 Main St"/>
    <x v="3"/>
    <x v="3"/>
    <s v="TRK35386084"/>
    <n v="7"/>
    <s v="SAVE10"/>
    <x v="1"/>
    <x v="394"/>
    <m/>
  </r>
  <r>
    <s v="ORD200396"/>
    <x v="142"/>
    <s v="C99217"/>
    <x v="2"/>
    <n v="5"/>
    <n v="287.13"/>
    <s v="778 Main St"/>
    <x v="1"/>
    <x v="0"/>
    <s v="TRK82004594"/>
    <n v="10"/>
    <s v="SAVE10"/>
    <x v="2"/>
    <x v="395"/>
    <m/>
  </r>
  <r>
    <s v="ORD200397"/>
    <x v="332"/>
    <s v="C30184"/>
    <x v="0"/>
    <n v="1"/>
    <n v="427.06"/>
    <s v="987 Main St"/>
    <x v="1"/>
    <x v="1"/>
    <s v="TRK86674704"/>
    <n v="1"/>
    <s v="WINTER15"/>
    <x v="1"/>
    <x v="396"/>
    <m/>
  </r>
  <r>
    <s v="ORD200398"/>
    <x v="333"/>
    <s v="C50275"/>
    <x v="1"/>
    <n v="5"/>
    <n v="53.93"/>
    <s v="729 Main St"/>
    <x v="3"/>
    <x v="0"/>
    <s v="TRK98925264"/>
    <n v="7"/>
    <s v="SAVE10"/>
    <x v="0"/>
    <x v="397"/>
    <m/>
  </r>
  <r>
    <s v="ORD200399"/>
    <x v="334"/>
    <s v="C64641"/>
    <x v="2"/>
    <n v="5"/>
    <n v="423.93"/>
    <s v="319 Main St"/>
    <x v="0"/>
    <x v="2"/>
    <s v="TRK32012588"/>
    <n v="5"/>
    <s v="FREESHIP"/>
    <x v="3"/>
    <x v="398"/>
    <m/>
  </r>
  <r>
    <s v="ORD200400"/>
    <x v="335"/>
    <s v="C56266"/>
    <x v="6"/>
    <n v="4"/>
    <n v="160.22"/>
    <s v="304 Main St"/>
    <x v="0"/>
    <x v="2"/>
    <s v="TRK60088901"/>
    <n v="9"/>
    <s v="WINTER15"/>
    <x v="0"/>
    <x v="399"/>
    <m/>
  </r>
  <r>
    <s v="ORD200401"/>
    <x v="23"/>
    <s v="C98635"/>
    <x v="4"/>
    <n v="1"/>
    <n v="538.67999999999995"/>
    <s v="197 Main St"/>
    <x v="0"/>
    <x v="2"/>
    <s v="TRK14225465"/>
    <n v="6"/>
    <s v="NO COUPON"/>
    <x v="1"/>
    <x v="400"/>
    <m/>
  </r>
  <r>
    <s v="ORD200402"/>
    <x v="336"/>
    <s v="C83026"/>
    <x v="4"/>
    <n v="5"/>
    <n v="337.38"/>
    <s v="858 Main St"/>
    <x v="3"/>
    <x v="0"/>
    <s v="TRK79746259"/>
    <n v="5"/>
    <s v="NO COUPON"/>
    <x v="1"/>
    <x v="401"/>
    <m/>
  </r>
  <r>
    <s v="ORD200403"/>
    <x v="337"/>
    <s v="C28893"/>
    <x v="2"/>
    <n v="1"/>
    <n v="620.21"/>
    <s v="740 Main St"/>
    <x v="1"/>
    <x v="2"/>
    <s v="TRK98333066"/>
    <n v="1"/>
    <s v="FREESHIP"/>
    <x v="1"/>
    <x v="402"/>
    <m/>
  </r>
  <r>
    <s v="ORD200404"/>
    <x v="338"/>
    <s v="C45482"/>
    <x v="0"/>
    <n v="2"/>
    <n v="99.1"/>
    <s v="440 Main St"/>
    <x v="4"/>
    <x v="3"/>
    <s v="TRK54571699"/>
    <n v="6"/>
    <s v="NO COUPON"/>
    <x v="0"/>
    <x v="403"/>
    <m/>
  </r>
  <r>
    <s v="ORD200405"/>
    <x v="281"/>
    <s v="C97774"/>
    <x v="0"/>
    <n v="4"/>
    <n v="451.97"/>
    <s v="603 Main St"/>
    <x v="1"/>
    <x v="1"/>
    <s v="TRK64664424"/>
    <n v="7"/>
    <s v="WINTER15"/>
    <x v="2"/>
    <x v="404"/>
    <m/>
  </r>
  <r>
    <s v="ORD200406"/>
    <x v="339"/>
    <s v="C11657"/>
    <x v="2"/>
    <n v="4"/>
    <n v="66.099999999999994"/>
    <s v="572 Main St"/>
    <x v="4"/>
    <x v="2"/>
    <s v="TRK50284486"/>
    <n v="9"/>
    <s v="WINTER15"/>
    <x v="4"/>
    <x v="405"/>
    <m/>
  </r>
  <r>
    <s v="ORD200407"/>
    <x v="340"/>
    <s v="C85993"/>
    <x v="2"/>
    <n v="4"/>
    <n v="547.32000000000005"/>
    <s v="250 Main St"/>
    <x v="4"/>
    <x v="2"/>
    <s v="TRK72547640"/>
    <n v="8"/>
    <s v="FREESHIP"/>
    <x v="0"/>
    <x v="406"/>
    <m/>
  </r>
  <r>
    <s v="ORD200408"/>
    <x v="341"/>
    <s v="C11906"/>
    <x v="4"/>
    <n v="3"/>
    <n v="412.53"/>
    <s v="536 Main St"/>
    <x v="1"/>
    <x v="4"/>
    <s v="TRK31140158"/>
    <n v="6"/>
    <s v="WINTER15"/>
    <x v="4"/>
    <x v="407"/>
    <m/>
  </r>
  <r>
    <s v="ORD200409"/>
    <x v="342"/>
    <s v="C45187"/>
    <x v="6"/>
    <n v="5"/>
    <n v="84.13"/>
    <s v="767 Main St"/>
    <x v="1"/>
    <x v="3"/>
    <s v="TRK12320793"/>
    <n v="9"/>
    <s v="SAVE10"/>
    <x v="4"/>
    <x v="408"/>
    <m/>
  </r>
  <r>
    <s v="ORD200410"/>
    <x v="343"/>
    <s v="C37375"/>
    <x v="2"/>
    <n v="2"/>
    <n v="518.23"/>
    <s v="184 Main St"/>
    <x v="0"/>
    <x v="0"/>
    <s v="TRK52470162"/>
    <n v="5"/>
    <s v="NO COUPON"/>
    <x v="2"/>
    <x v="409"/>
    <m/>
  </r>
  <r>
    <s v="ORD200411"/>
    <x v="83"/>
    <s v="C66567"/>
    <x v="6"/>
    <n v="2"/>
    <n v="39.51"/>
    <s v="981 Main St"/>
    <x v="1"/>
    <x v="0"/>
    <s v="TRK21174822"/>
    <n v="5"/>
    <s v="NO COUPON"/>
    <x v="3"/>
    <x v="410"/>
    <m/>
  </r>
  <r>
    <s v="ORD200412"/>
    <x v="344"/>
    <s v="C42451"/>
    <x v="2"/>
    <n v="5"/>
    <n v="133.01"/>
    <s v="246 Main St"/>
    <x v="2"/>
    <x v="2"/>
    <s v="TRK31313343"/>
    <n v="10"/>
    <s v="NO COUPON"/>
    <x v="3"/>
    <x v="411"/>
    <m/>
  </r>
  <r>
    <s v="ORD200413"/>
    <x v="345"/>
    <s v="C13923"/>
    <x v="2"/>
    <n v="1"/>
    <n v="118.8"/>
    <s v="123 Main St"/>
    <x v="1"/>
    <x v="3"/>
    <s v="TRK87598790"/>
    <n v="6"/>
    <s v="SAVE10"/>
    <x v="2"/>
    <x v="412"/>
    <m/>
  </r>
  <r>
    <s v="ORD200414"/>
    <x v="346"/>
    <s v="C11829"/>
    <x v="6"/>
    <n v="2"/>
    <n v="139.57"/>
    <s v="797 Main St"/>
    <x v="4"/>
    <x v="3"/>
    <s v="TRK84229257"/>
    <n v="4"/>
    <s v="WINTER15"/>
    <x v="3"/>
    <x v="413"/>
    <m/>
  </r>
  <r>
    <s v="ORD200415"/>
    <x v="161"/>
    <s v="C62169"/>
    <x v="3"/>
    <n v="1"/>
    <n v="184.15"/>
    <s v="655 Main St"/>
    <x v="3"/>
    <x v="0"/>
    <s v="TRK64558985"/>
    <n v="5"/>
    <s v="FREESHIP"/>
    <x v="3"/>
    <x v="414"/>
    <m/>
  </r>
  <r>
    <s v="ORD200416"/>
    <x v="202"/>
    <s v="C20881"/>
    <x v="5"/>
    <n v="2"/>
    <n v="644.04999999999995"/>
    <s v="652 Main St"/>
    <x v="3"/>
    <x v="1"/>
    <s v="TRK26263902"/>
    <n v="5"/>
    <s v="WINTER15"/>
    <x v="1"/>
    <x v="415"/>
    <m/>
  </r>
  <r>
    <s v="ORD200417"/>
    <x v="347"/>
    <s v="C44492"/>
    <x v="5"/>
    <n v="5"/>
    <n v="55.41"/>
    <s v="954 Main St"/>
    <x v="1"/>
    <x v="1"/>
    <s v="TRK51429869"/>
    <n v="5"/>
    <s v="NO COUPON"/>
    <x v="4"/>
    <x v="416"/>
    <m/>
  </r>
  <r>
    <s v="ORD200418"/>
    <x v="348"/>
    <s v="C74169"/>
    <x v="4"/>
    <n v="1"/>
    <n v="310.93"/>
    <s v="862 Main St"/>
    <x v="1"/>
    <x v="1"/>
    <s v="TRK66144809"/>
    <n v="3"/>
    <s v="NO COUPON"/>
    <x v="3"/>
    <x v="417"/>
    <m/>
  </r>
  <r>
    <s v="ORD200419"/>
    <x v="349"/>
    <s v="C70999"/>
    <x v="2"/>
    <n v="2"/>
    <n v="216.66"/>
    <s v="885 Main St"/>
    <x v="0"/>
    <x v="4"/>
    <s v="TRK75644156"/>
    <n v="6"/>
    <s v="FREESHIP"/>
    <x v="0"/>
    <x v="418"/>
    <m/>
  </r>
  <r>
    <s v="ORD200420"/>
    <x v="350"/>
    <s v="C11921"/>
    <x v="1"/>
    <n v="1"/>
    <n v="452.7"/>
    <s v="439 Main St"/>
    <x v="0"/>
    <x v="0"/>
    <s v="TRK91362635"/>
    <n v="5"/>
    <s v="FREESHIP"/>
    <x v="0"/>
    <x v="419"/>
    <m/>
  </r>
  <r>
    <s v="ORD200421"/>
    <x v="3"/>
    <s v="C50683"/>
    <x v="3"/>
    <n v="2"/>
    <n v="288.20999999999998"/>
    <s v="769 Main St"/>
    <x v="0"/>
    <x v="1"/>
    <s v="TRK53032122"/>
    <n v="5"/>
    <s v="NO COUPON"/>
    <x v="2"/>
    <x v="420"/>
    <m/>
  </r>
  <r>
    <s v="ORD200422"/>
    <x v="32"/>
    <s v="C76140"/>
    <x v="1"/>
    <n v="4"/>
    <n v="206.6"/>
    <s v="914 Main St"/>
    <x v="3"/>
    <x v="2"/>
    <s v="TRK25861469"/>
    <n v="6"/>
    <s v="WINTER15"/>
    <x v="1"/>
    <x v="421"/>
    <m/>
  </r>
  <r>
    <s v="ORD200423"/>
    <x v="351"/>
    <s v="C94311"/>
    <x v="4"/>
    <n v="4"/>
    <n v="685.2"/>
    <s v="195 Main St"/>
    <x v="3"/>
    <x v="1"/>
    <s v="TRK97308771"/>
    <n v="6"/>
    <s v="WINTER15"/>
    <x v="4"/>
    <x v="422"/>
    <m/>
  </r>
  <r>
    <s v="ORD200424"/>
    <x v="352"/>
    <s v="C49491"/>
    <x v="3"/>
    <n v="5"/>
    <n v="22.94"/>
    <s v="339 Main St"/>
    <x v="4"/>
    <x v="4"/>
    <s v="TRK64012257"/>
    <n v="10"/>
    <s v="NO COUPON"/>
    <x v="2"/>
    <x v="423"/>
    <m/>
  </r>
  <r>
    <s v="ORD200425"/>
    <x v="338"/>
    <s v="C40648"/>
    <x v="5"/>
    <n v="2"/>
    <n v="301.88"/>
    <s v="488 Main St"/>
    <x v="3"/>
    <x v="2"/>
    <s v="TRK25325993"/>
    <n v="5"/>
    <s v="WINTER15"/>
    <x v="2"/>
    <x v="424"/>
    <m/>
  </r>
  <r>
    <s v="ORD200426"/>
    <x v="353"/>
    <s v="C40967"/>
    <x v="0"/>
    <n v="5"/>
    <n v="57.45"/>
    <s v="315 Main St"/>
    <x v="4"/>
    <x v="1"/>
    <s v="TRK24839296"/>
    <n v="10"/>
    <s v="NO COUPON"/>
    <x v="3"/>
    <x v="425"/>
    <m/>
  </r>
  <r>
    <s v="ORD200427"/>
    <x v="144"/>
    <s v="C25406"/>
    <x v="6"/>
    <n v="1"/>
    <n v="161.24"/>
    <s v="379 Main St"/>
    <x v="2"/>
    <x v="4"/>
    <s v="TRK70952564"/>
    <n v="3"/>
    <s v="WINTER15"/>
    <x v="0"/>
    <x v="426"/>
    <m/>
  </r>
  <r>
    <s v="ORD200428"/>
    <x v="130"/>
    <s v="C77085"/>
    <x v="3"/>
    <n v="4"/>
    <n v="262.58"/>
    <s v="895 Main St"/>
    <x v="1"/>
    <x v="1"/>
    <s v="TRK57227640"/>
    <n v="8"/>
    <s v="WINTER15"/>
    <x v="2"/>
    <x v="427"/>
    <m/>
  </r>
  <r>
    <s v="ORD200429"/>
    <x v="36"/>
    <s v="C38126"/>
    <x v="4"/>
    <n v="4"/>
    <n v="515.19000000000005"/>
    <s v="522 Main St"/>
    <x v="2"/>
    <x v="4"/>
    <s v="TRK90838498"/>
    <n v="9"/>
    <s v="SAVE10"/>
    <x v="3"/>
    <x v="428"/>
    <m/>
  </r>
  <r>
    <s v="ORD200430"/>
    <x v="323"/>
    <s v="C87448"/>
    <x v="1"/>
    <n v="1"/>
    <n v="450.07"/>
    <s v="433 Main St"/>
    <x v="3"/>
    <x v="0"/>
    <s v="TRK44134016"/>
    <n v="6"/>
    <s v="FREESHIP"/>
    <x v="4"/>
    <x v="429"/>
    <m/>
  </r>
  <r>
    <s v="ORD200431"/>
    <x v="354"/>
    <s v="C62312"/>
    <x v="4"/>
    <n v="1"/>
    <n v="52.54"/>
    <s v="651 Main St"/>
    <x v="0"/>
    <x v="1"/>
    <s v="TRK59623037"/>
    <n v="6"/>
    <s v="WINTER15"/>
    <x v="3"/>
    <x v="430"/>
    <m/>
  </r>
  <r>
    <s v="ORD200432"/>
    <x v="355"/>
    <s v="C58443"/>
    <x v="2"/>
    <n v="2"/>
    <n v="424.32"/>
    <s v="662 Main St"/>
    <x v="2"/>
    <x v="2"/>
    <s v="TRK77163738"/>
    <n v="6"/>
    <s v="NO COUPON"/>
    <x v="1"/>
    <x v="431"/>
    <m/>
  </r>
  <r>
    <s v="ORD200433"/>
    <x v="46"/>
    <s v="C36613"/>
    <x v="0"/>
    <n v="3"/>
    <n v="631.64"/>
    <s v="785 Main St"/>
    <x v="2"/>
    <x v="2"/>
    <s v="TRK13282106"/>
    <n v="3"/>
    <s v="FREESHIP"/>
    <x v="3"/>
    <x v="432"/>
    <m/>
  </r>
  <r>
    <s v="ORD200434"/>
    <x v="356"/>
    <s v="C73893"/>
    <x v="4"/>
    <n v="5"/>
    <n v="327.68"/>
    <s v="384 Main St"/>
    <x v="2"/>
    <x v="2"/>
    <s v="TRK85939879"/>
    <n v="6"/>
    <s v="NO COUPON"/>
    <x v="3"/>
    <x v="433"/>
    <m/>
  </r>
  <r>
    <s v="ORD200435"/>
    <x v="156"/>
    <s v="C48601"/>
    <x v="4"/>
    <n v="1"/>
    <n v="414.47"/>
    <s v="101 Main St"/>
    <x v="0"/>
    <x v="2"/>
    <s v="TRK97868309"/>
    <n v="3"/>
    <s v="FREESHIP"/>
    <x v="0"/>
    <x v="434"/>
    <m/>
  </r>
  <r>
    <s v="ORD200436"/>
    <x v="91"/>
    <s v="C14568"/>
    <x v="5"/>
    <n v="4"/>
    <n v="221.33"/>
    <s v="651 Main St"/>
    <x v="1"/>
    <x v="4"/>
    <s v="TRK73545796"/>
    <n v="5"/>
    <s v="NO COUPON"/>
    <x v="4"/>
    <x v="435"/>
    <m/>
  </r>
  <r>
    <s v="ORD200437"/>
    <x v="171"/>
    <s v="C63378"/>
    <x v="1"/>
    <n v="1"/>
    <n v="512.39"/>
    <s v="955 Main St"/>
    <x v="1"/>
    <x v="3"/>
    <s v="TRK20863705"/>
    <n v="2"/>
    <s v="FREESHIP"/>
    <x v="0"/>
    <x v="436"/>
    <m/>
  </r>
  <r>
    <s v="ORD200438"/>
    <x v="195"/>
    <s v="C77800"/>
    <x v="2"/>
    <n v="3"/>
    <n v="459.34"/>
    <s v="436 Main St"/>
    <x v="3"/>
    <x v="4"/>
    <s v="TRK27439574"/>
    <n v="3"/>
    <s v="SAVE10"/>
    <x v="0"/>
    <x v="437"/>
    <m/>
  </r>
  <r>
    <s v="ORD200439"/>
    <x v="50"/>
    <s v="C91155"/>
    <x v="2"/>
    <n v="1"/>
    <n v="146.32"/>
    <s v="321 Main St"/>
    <x v="1"/>
    <x v="0"/>
    <s v="TRK36260319"/>
    <n v="4"/>
    <s v="WINTER15"/>
    <x v="3"/>
    <x v="438"/>
    <m/>
  </r>
  <r>
    <s v="ORD200440"/>
    <x v="357"/>
    <s v="C60215"/>
    <x v="6"/>
    <n v="4"/>
    <n v="83.6"/>
    <s v="978 Main St"/>
    <x v="0"/>
    <x v="4"/>
    <s v="TRK31727767"/>
    <n v="4"/>
    <s v="SAVE10"/>
    <x v="3"/>
    <x v="439"/>
    <m/>
  </r>
  <r>
    <s v="ORD200441"/>
    <x v="141"/>
    <s v="C52915"/>
    <x v="4"/>
    <n v="2"/>
    <n v="328.54"/>
    <s v="475 Main St"/>
    <x v="3"/>
    <x v="2"/>
    <s v="TRK79466982"/>
    <n v="6"/>
    <s v="FREESHIP"/>
    <x v="2"/>
    <x v="440"/>
    <m/>
  </r>
  <r>
    <s v="ORD200442"/>
    <x v="40"/>
    <s v="C72588"/>
    <x v="3"/>
    <n v="5"/>
    <n v="314.94"/>
    <s v="661 Main St"/>
    <x v="4"/>
    <x v="4"/>
    <s v="TRK43410829"/>
    <n v="8"/>
    <s v="SAVE10"/>
    <x v="0"/>
    <x v="441"/>
    <m/>
  </r>
  <r>
    <s v="ORD200443"/>
    <x v="358"/>
    <s v="C61668"/>
    <x v="3"/>
    <n v="2"/>
    <n v="69.64"/>
    <s v="813 Main St"/>
    <x v="4"/>
    <x v="2"/>
    <s v="TRK58970302"/>
    <n v="6"/>
    <s v="NO COUPON"/>
    <x v="3"/>
    <x v="442"/>
    <m/>
  </r>
  <r>
    <s v="ORD200444"/>
    <x v="180"/>
    <s v="C79508"/>
    <x v="4"/>
    <n v="1"/>
    <n v="135.16999999999999"/>
    <s v="585 Main St"/>
    <x v="1"/>
    <x v="0"/>
    <s v="TRK61882353"/>
    <n v="6"/>
    <s v="FREESHIP"/>
    <x v="0"/>
    <x v="443"/>
    <m/>
  </r>
  <r>
    <s v="ORD200445"/>
    <x v="230"/>
    <s v="C94569"/>
    <x v="1"/>
    <n v="1"/>
    <n v="487.21"/>
    <s v="227 Main St"/>
    <x v="4"/>
    <x v="3"/>
    <s v="TRK31351770"/>
    <n v="3"/>
    <s v="SAVE10"/>
    <x v="1"/>
    <x v="444"/>
    <m/>
  </r>
  <r>
    <s v="ORD200446"/>
    <x v="359"/>
    <s v="C89592"/>
    <x v="5"/>
    <n v="5"/>
    <n v="509.58"/>
    <s v="262 Main St"/>
    <x v="1"/>
    <x v="3"/>
    <s v="TRK49442402"/>
    <n v="6"/>
    <s v="FREESHIP"/>
    <x v="0"/>
    <x v="445"/>
    <m/>
  </r>
  <r>
    <s v="ORD200447"/>
    <x v="158"/>
    <s v="C48207"/>
    <x v="4"/>
    <n v="2"/>
    <n v="416.81"/>
    <s v="356 Main St"/>
    <x v="4"/>
    <x v="2"/>
    <s v="TRK45355655"/>
    <n v="2"/>
    <s v="NO COUPON"/>
    <x v="3"/>
    <x v="446"/>
    <m/>
  </r>
  <r>
    <s v="ORD200448"/>
    <x v="355"/>
    <s v="C16776"/>
    <x v="5"/>
    <n v="2"/>
    <n v="160"/>
    <s v="854 Main St"/>
    <x v="4"/>
    <x v="4"/>
    <s v="TRK12860600"/>
    <n v="4"/>
    <s v="SAVE10"/>
    <x v="0"/>
    <x v="447"/>
    <m/>
  </r>
  <r>
    <s v="ORD200449"/>
    <x v="360"/>
    <s v="C91518"/>
    <x v="2"/>
    <n v="3"/>
    <n v="253.05"/>
    <s v="286 Main St"/>
    <x v="1"/>
    <x v="4"/>
    <s v="TRK48688724"/>
    <n v="3"/>
    <s v="NO COUPON"/>
    <x v="0"/>
    <x v="448"/>
    <m/>
  </r>
  <r>
    <s v="ORD200450"/>
    <x v="361"/>
    <s v="C36408"/>
    <x v="0"/>
    <n v="5"/>
    <n v="615.1"/>
    <s v="160 Main St"/>
    <x v="3"/>
    <x v="2"/>
    <s v="TRK94023253"/>
    <n v="10"/>
    <s v="WINTER15"/>
    <x v="0"/>
    <x v="449"/>
    <m/>
  </r>
  <r>
    <s v="ORD200451"/>
    <x v="362"/>
    <s v="C14837"/>
    <x v="0"/>
    <n v="1"/>
    <n v="183.18"/>
    <s v="647 Main St"/>
    <x v="0"/>
    <x v="1"/>
    <s v="TRK17501136"/>
    <n v="6"/>
    <s v="SAVE10"/>
    <x v="2"/>
    <x v="450"/>
    <m/>
  </r>
  <r>
    <s v="ORD200452"/>
    <x v="363"/>
    <s v="C36467"/>
    <x v="4"/>
    <n v="1"/>
    <n v="75.78"/>
    <s v="581 Main St"/>
    <x v="4"/>
    <x v="4"/>
    <s v="TRK20863987"/>
    <n v="5"/>
    <s v="SAVE10"/>
    <x v="4"/>
    <x v="451"/>
    <m/>
  </r>
  <r>
    <s v="ORD200453"/>
    <x v="201"/>
    <s v="C15017"/>
    <x v="2"/>
    <n v="1"/>
    <n v="675.57"/>
    <s v="492 Main St"/>
    <x v="4"/>
    <x v="0"/>
    <s v="TRK51241924"/>
    <n v="1"/>
    <s v="WINTER15"/>
    <x v="3"/>
    <x v="452"/>
    <m/>
  </r>
  <r>
    <s v="ORD200454"/>
    <x v="364"/>
    <s v="C54759"/>
    <x v="5"/>
    <n v="1"/>
    <n v="109.29"/>
    <s v="686 Main St"/>
    <x v="0"/>
    <x v="1"/>
    <s v="TRK75583042"/>
    <n v="5"/>
    <s v="FREESHIP"/>
    <x v="4"/>
    <x v="453"/>
    <m/>
  </r>
  <r>
    <s v="ORD200455"/>
    <x v="290"/>
    <s v="C58341"/>
    <x v="1"/>
    <n v="1"/>
    <n v="639.83000000000004"/>
    <s v="874 Main St"/>
    <x v="0"/>
    <x v="4"/>
    <s v="TRK32856728"/>
    <n v="2"/>
    <s v="SAVE10"/>
    <x v="1"/>
    <x v="454"/>
    <m/>
  </r>
  <r>
    <s v="ORD200456"/>
    <x v="365"/>
    <s v="C94479"/>
    <x v="6"/>
    <n v="5"/>
    <n v="62.81"/>
    <s v="259 Main St"/>
    <x v="2"/>
    <x v="0"/>
    <s v="TRK69089975"/>
    <n v="9"/>
    <s v="SAVE10"/>
    <x v="3"/>
    <x v="455"/>
    <m/>
  </r>
  <r>
    <s v="ORD200457"/>
    <x v="366"/>
    <s v="C50236"/>
    <x v="6"/>
    <n v="4"/>
    <n v="615.83000000000004"/>
    <s v="545 Main St"/>
    <x v="1"/>
    <x v="2"/>
    <s v="TRK67692578"/>
    <n v="4"/>
    <s v="WINTER15"/>
    <x v="0"/>
    <x v="456"/>
    <m/>
  </r>
  <r>
    <s v="ORD200458"/>
    <x v="367"/>
    <s v="C31412"/>
    <x v="0"/>
    <n v="4"/>
    <n v="510.58"/>
    <s v="196 Main St"/>
    <x v="2"/>
    <x v="2"/>
    <s v="TRK61946127"/>
    <n v="7"/>
    <s v="WINTER15"/>
    <x v="2"/>
    <x v="457"/>
    <m/>
  </r>
  <r>
    <s v="ORD200459"/>
    <x v="25"/>
    <s v="C90142"/>
    <x v="6"/>
    <n v="1"/>
    <n v="334.39"/>
    <s v="433 Main St"/>
    <x v="2"/>
    <x v="2"/>
    <s v="TRK39717191"/>
    <n v="2"/>
    <s v="NO COUPON"/>
    <x v="0"/>
    <x v="458"/>
    <m/>
  </r>
  <r>
    <s v="ORD200460"/>
    <x v="354"/>
    <s v="C83548"/>
    <x v="5"/>
    <n v="1"/>
    <n v="144.25"/>
    <s v="474 Main St"/>
    <x v="4"/>
    <x v="2"/>
    <s v="TRK93822942"/>
    <n v="2"/>
    <s v="WINTER15"/>
    <x v="1"/>
    <x v="459"/>
    <m/>
  </r>
  <r>
    <s v="ORD200461"/>
    <x v="180"/>
    <s v="C29697"/>
    <x v="2"/>
    <n v="1"/>
    <n v="401.82"/>
    <s v="407 Main St"/>
    <x v="2"/>
    <x v="0"/>
    <s v="TRK47776482"/>
    <n v="5"/>
    <s v="FREESHIP"/>
    <x v="4"/>
    <x v="460"/>
    <m/>
  </r>
  <r>
    <s v="ORD200462"/>
    <x v="368"/>
    <s v="C22991"/>
    <x v="1"/>
    <n v="1"/>
    <n v="252.68"/>
    <s v="731 Main St"/>
    <x v="1"/>
    <x v="1"/>
    <s v="TRK32796086"/>
    <n v="1"/>
    <s v="NO COUPON"/>
    <x v="1"/>
    <x v="461"/>
    <m/>
  </r>
  <r>
    <s v="ORD200463"/>
    <x v="68"/>
    <s v="C25276"/>
    <x v="5"/>
    <n v="5"/>
    <n v="662.78"/>
    <s v="214 Main St"/>
    <x v="0"/>
    <x v="0"/>
    <s v="TRK14011732"/>
    <n v="9"/>
    <s v="SAVE10"/>
    <x v="0"/>
    <x v="462"/>
    <m/>
  </r>
  <r>
    <s v="ORD200464"/>
    <x v="369"/>
    <s v="C39176"/>
    <x v="2"/>
    <n v="4"/>
    <n v="434.42"/>
    <s v="739 Main St"/>
    <x v="1"/>
    <x v="1"/>
    <s v="TRK71418686"/>
    <n v="6"/>
    <s v="FREESHIP"/>
    <x v="4"/>
    <x v="463"/>
    <m/>
  </r>
  <r>
    <s v="ORD200465"/>
    <x v="235"/>
    <s v="C58773"/>
    <x v="4"/>
    <n v="5"/>
    <n v="513.49"/>
    <s v="391 Main St"/>
    <x v="3"/>
    <x v="1"/>
    <s v="TRK65438300"/>
    <n v="8"/>
    <s v="NO COUPON"/>
    <x v="4"/>
    <x v="464"/>
    <m/>
  </r>
  <r>
    <s v="ORD200466"/>
    <x v="202"/>
    <s v="C37412"/>
    <x v="1"/>
    <n v="1"/>
    <n v="432.47"/>
    <s v="895 Main St"/>
    <x v="4"/>
    <x v="3"/>
    <s v="TRK97829604"/>
    <n v="4"/>
    <s v="FREESHIP"/>
    <x v="1"/>
    <x v="465"/>
    <m/>
  </r>
  <r>
    <s v="ORD200467"/>
    <x v="225"/>
    <s v="C36492"/>
    <x v="6"/>
    <n v="1"/>
    <n v="45.94"/>
    <s v="572 Main St"/>
    <x v="4"/>
    <x v="1"/>
    <s v="TRK44350440"/>
    <n v="2"/>
    <s v="WINTER15"/>
    <x v="2"/>
    <x v="466"/>
    <m/>
  </r>
  <r>
    <s v="ORD200468"/>
    <x v="370"/>
    <s v="C90110"/>
    <x v="1"/>
    <n v="1"/>
    <n v="418.36"/>
    <s v="998 Main St"/>
    <x v="2"/>
    <x v="3"/>
    <s v="TRK60203957"/>
    <n v="5"/>
    <s v="FREESHIP"/>
    <x v="2"/>
    <x v="467"/>
    <m/>
  </r>
  <r>
    <s v="ORD200469"/>
    <x v="371"/>
    <s v="C13877"/>
    <x v="3"/>
    <n v="5"/>
    <n v="676.98"/>
    <s v="893 Main St"/>
    <x v="4"/>
    <x v="1"/>
    <s v="TRK17254691"/>
    <n v="5"/>
    <s v="NO COUPON"/>
    <x v="3"/>
    <x v="468"/>
    <m/>
  </r>
  <r>
    <s v="ORD200470"/>
    <x v="372"/>
    <s v="C25149"/>
    <x v="2"/>
    <n v="4"/>
    <n v="263.62"/>
    <s v="672 Main St"/>
    <x v="4"/>
    <x v="0"/>
    <s v="TRK33538608"/>
    <n v="5"/>
    <s v="SAVE10"/>
    <x v="2"/>
    <x v="469"/>
    <m/>
  </r>
  <r>
    <s v="ORD200471"/>
    <x v="373"/>
    <s v="C52717"/>
    <x v="6"/>
    <n v="5"/>
    <n v="551.27"/>
    <s v="395 Main St"/>
    <x v="1"/>
    <x v="1"/>
    <s v="TRK27625571"/>
    <n v="7"/>
    <s v="FREESHIP"/>
    <x v="1"/>
    <x v="470"/>
    <m/>
  </r>
  <r>
    <s v="ORD200472"/>
    <x v="374"/>
    <s v="C60029"/>
    <x v="3"/>
    <n v="3"/>
    <n v="508.12"/>
    <s v="796 Main St"/>
    <x v="2"/>
    <x v="1"/>
    <s v="TRK86461316"/>
    <n v="8"/>
    <s v="FREESHIP"/>
    <x v="1"/>
    <x v="471"/>
    <m/>
  </r>
  <r>
    <s v="ORD200473"/>
    <x v="86"/>
    <s v="C28552"/>
    <x v="3"/>
    <n v="2"/>
    <n v="14.93"/>
    <s v="449 Main St"/>
    <x v="1"/>
    <x v="0"/>
    <s v="TRK71597160"/>
    <n v="4"/>
    <s v="NO COUPON"/>
    <x v="3"/>
    <x v="472"/>
    <m/>
  </r>
  <r>
    <s v="ORD200474"/>
    <x v="375"/>
    <s v="C72293"/>
    <x v="4"/>
    <n v="3"/>
    <n v="229.34"/>
    <s v="398 Main St"/>
    <x v="2"/>
    <x v="0"/>
    <s v="TRK84378003"/>
    <n v="6"/>
    <s v="SAVE10"/>
    <x v="1"/>
    <x v="473"/>
    <m/>
  </r>
  <r>
    <s v="ORD200475"/>
    <x v="373"/>
    <s v="C29844"/>
    <x v="2"/>
    <n v="2"/>
    <n v="438.62"/>
    <s v="363 Main St"/>
    <x v="4"/>
    <x v="1"/>
    <s v="TRK91642337"/>
    <n v="3"/>
    <s v="SAVE10"/>
    <x v="3"/>
    <x v="474"/>
    <m/>
  </r>
  <r>
    <s v="ORD200476"/>
    <x v="361"/>
    <s v="C77872"/>
    <x v="1"/>
    <n v="2"/>
    <n v="513.59"/>
    <s v="867 Main St"/>
    <x v="1"/>
    <x v="2"/>
    <s v="TRK19292184"/>
    <n v="4"/>
    <s v="FREESHIP"/>
    <x v="1"/>
    <x v="475"/>
    <m/>
  </r>
  <r>
    <s v="ORD200477"/>
    <x v="376"/>
    <s v="C56564"/>
    <x v="1"/>
    <n v="2"/>
    <n v="253.74"/>
    <s v="481 Main St"/>
    <x v="1"/>
    <x v="0"/>
    <s v="TRK13166044"/>
    <n v="5"/>
    <s v="SAVE10"/>
    <x v="4"/>
    <x v="476"/>
    <m/>
  </r>
  <r>
    <s v="ORD200478"/>
    <x v="377"/>
    <s v="C16758"/>
    <x v="2"/>
    <n v="3"/>
    <n v="62.77"/>
    <s v="914 Main St"/>
    <x v="3"/>
    <x v="0"/>
    <s v="TRK88544431"/>
    <n v="6"/>
    <s v="FREESHIP"/>
    <x v="1"/>
    <x v="477"/>
    <m/>
  </r>
  <r>
    <s v="ORD200479"/>
    <x v="378"/>
    <s v="C87011"/>
    <x v="0"/>
    <n v="4"/>
    <n v="25.29"/>
    <s v="943 Main St"/>
    <x v="2"/>
    <x v="4"/>
    <s v="TRK21429162"/>
    <n v="8"/>
    <s v="NO COUPON"/>
    <x v="4"/>
    <x v="478"/>
    <m/>
  </r>
  <r>
    <s v="ORD200480"/>
    <x v="379"/>
    <s v="C21147"/>
    <x v="3"/>
    <n v="1"/>
    <n v="335.1"/>
    <s v="126 Main St"/>
    <x v="0"/>
    <x v="4"/>
    <s v="TRK93171043"/>
    <n v="6"/>
    <s v="FREESHIP"/>
    <x v="1"/>
    <x v="479"/>
    <m/>
  </r>
  <r>
    <s v="ORD200481"/>
    <x v="295"/>
    <s v="C94568"/>
    <x v="5"/>
    <n v="4"/>
    <n v="484.85"/>
    <s v="317 Main St"/>
    <x v="0"/>
    <x v="3"/>
    <s v="TRK58653915"/>
    <n v="5"/>
    <s v="WINTER15"/>
    <x v="1"/>
    <x v="480"/>
    <m/>
  </r>
  <r>
    <s v="ORD200482"/>
    <x v="380"/>
    <s v="C35852"/>
    <x v="0"/>
    <n v="3"/>
    <n v="381.41"/>
    <s v="989 Main St"/>
    <x v="1"/>
    <x v="4"/>
    <s v="TRK22302049"/>
    <n v="6"/>
    <s v="NO COUPON"/>
    <x v="0"/>
    <x v="481"/>
    <m/>
  </r>
  <r>
    <s v="ORD200483"/>
    <x v="381"/>
    <s v="C66462"/>
    <x v="1"/>
    <n v="5"/>
    <n v="347.92"/>
    <s v="982 Main St"/>
    <x v="4"/>
    <x v="4"/>
    <s v="TRK52743700"/>
    <n v="6"/>
    <s v="WINTER15"/>
    <x v="4"/>
    <x v="482"/>
    <m/>
  </r>
  <r>
    <s v="ORD200484"/>
    <x v="382"/>
    <s v="C29092"/>
    <x v="3"/>
    <n v="4"/>
    <n v="15.01"/>
    <s v="767 Main St"/>
    <x v="4"/>
    <x v="1"/>
    <s v="TRK90455340"/>
    <n v="6"/>
    <s v="NO COUPON"/>
    <x v="3"/>
    <x v="483"/>
    <m/>
  </r>
  <r>
    <s v="ORD200485"/>
    <x v="383"/>
    <s v="C46651"/>
    <x v="3"/>
    <n v="3"/>
    <n v="404.79"/>
    <s v="764 Main St"/>
    <x v="4"/>
    <x v="0"/>
    <s v="TRK67679195"/>
    <n v="6"/>
    <s v="SAVE10"/>
    <x v="0"/>
    <x v="484"/>
    <m/>
  </r>
  <r>
    <s v="ORD200486"/>
    <x v="384"/>
    <s v="C88981"/>
    <x v="4"/>
    <n v="4"/>
    <n v="611.26"/>
    <s v="558 Main St"/>
    <x v="4"/>
    <x v="0"/>
    <s v="TRK75267873"/>
    <n v="5"/>
    <s v="SAVE10"/>
    <x v="1"/>
    <x v="485"/>
    <m/>
  </r>
  <r>
    <s v="ORD200487"/>
    <x v="338"/>
    <s v="C40136"/>
    <x v="4"/>
    <n v="3"/>
    <n v="346.52"/>
    <s v="211 Main St"/>
    <x v="2"/>
    <x v="4"/>
    <s v="TRK92924852"/>
    <n v="3"/>
    <s v="SAVE10"/>
    <x v="4"/>
    <x v="486"/>
    <m/>
  </r>
  <r>
    <s v="ORD200488"/>
    <x v="194"/>
    <s v="C81573"/>
    <x v="3"/>
    <n v="1"/>
    <n v="36.65"/>
    <s v="556 Main St"/>
    <x v="1"/>
    <x v="1"/>
    <s v="TRK96522994"/>
    <n v="1"/>
    <s v="WINTER15"/>
    <x v="2"/>
    <x v="487"/>
    <m/>
  </r>
  <r>
    <s v="ORD200489"/>
    <x v="189"/>
    <s v="C11940"/>
    <x v="2"/>
    <n v="3"/>
    <n v="149.34"/>
    <s v="589 Main St"/>
    <x v="3"/>
    <x v="1"/>
    <s v="TRK85466461"/>
    <n v="7"/>
    <s v="WINTER15"/>
    <x v="2"/>
    <x v="488"/>
    <m/>
  </r>
  <r>
    <s v="ORD200490"/>
    <x v="319"/>
    <s v="C50097"/>
    <x v="3"/>
    <n v="5"/>
    <n v="467.81"/>
    <s v="539 Main St"/>
    <x v="1"/>
    <x v="1"/>
    <s v="TRK62785150"/>
    <n v="10"/>
    <s v="NO COUPON"/>
    <x v="3"/>
    <x v="489"/>
    <m/>
  </r>
  <r>
    <s v="ORD200491"/>
    <x v="314"/>
    <s v="C98168"/>
    <x v="1"/>
    <n v="5"/>
    <n v="420.7"/>
    <s v="481 Main St"/>
    <x v="4"/>
    <x v="4"/>
    <s v="TRK56423359"/>
    <n v="5"/>
    <s v="WINTER15"/>
    <x v="3"/>
    <x v="490"/>
    <m/>
  </r>
  <r>
    <s v="ORD200492"/>
    <x v="385"/>
    <s v="C39074"/>
    <x v="5"/>
    <n v="5"/>
    <n v="606.52"/>
    <s v="103 Main St"/>
    <x v="0"/>
    <x v="0"/>
    <s v="TRK13027036"/>
    <n v="6"/>
    <s v="SAVE10"/>
    <x v="0"/>
    <x v="491"/>
    <m/>
  </r>
  <r>
    <s v="ORD200493"/>
    <x v="386"/>
    <s v="C84908"/>
    <x v="1"/>
    <n v="1"/>
    <n v="420.26"/>
    <s v="372 Main St"/>
    <x v="2"/>
    <x v="4"/>
    <s v="TRK64135970"/>
    <n v="4"/>
    <s v="FREESHIP"/>
    <x v="3"/>
    <x v="492"/>
    <m/>
  </r>
  <r>
    <s v="ORD200494"/>
    <x v="45"/>
    <s v="C64516"/>
    <x v="5"/>
    <n v="3"/>
    <n v="505.79"/>
    <s v="459 Main St"/>
    <x v="0"/>
    <x v="4"/>
    <s v="TRK63920573"/>
    <n v="3"/>
    <s v="FREESHIP"/>
    <x v="1"/>
    <x v="493"/>
    <m/>
  </r>
  <r>
    <s v="ORD200495"/>
    <x v="85"/>
    <s v="C63827"/>
    <x v="1"/>
    <n v="4"/>
    <n v="493.73"/>
    <s v="947 Main St"/>
    <x v="0"/>
    <x v="4"/>
    <s v="TRK35730581"/>
    <n v="6"/>
    <s v="SAVE10"/>
    <x v="3"/>
    <x v="494"/>
    <m/>
  </r>
  <r>
    <s v="ORD200496"/>
    <x v="387"/>
    <s v="C93618"/>
    <x v="4"/>
    <n v="3"/>
    <n v="201.21"/>
    <s v="249 Main St"/>
    <x v="1"/>
    <x v="1"/>
    <s v="TRK66129326"/>
    <n v="3"/>
    <s v="SAVE10"/>
    <x v="4"/>
    <x v="495"/>
    <m/>
  </r>
  <r>
    <s v="ORD200497"/>
    <x v="101"/>
    <s v="C93948"/>
    <x v="4"/>
    <n v="3"/>
    <n v="112.29"/>
    <s v="454 Main St"/>
    <x v="3"/>
    <x v="0"/>
    <s v="TRK77358113"/>
    <n v="6"/>
    <s v="NO COUPON"/>
    <x v="4"/>
    <x v="496"/>
    <m/>
  </r>
  <r>
    <s v="ORD200498"/>
    <x v="219"/>
    <s v="C73961"/>
    <x v="2"/>
    <n v="4"/>
    <n v="132.56"/>
    <s v="306 Main St"/>
    <x v="4"/>
    <x v="2"/>
    <s v="TRK32607173"/>
    <n v="8"/>
    <s v="WINTER15"/>
    <x v="0"/>
    <x v="497"/>
    <m/>
  </r>
  <r>
    <s v="ORD200499"/>
    <x v="388"/>
    <s v="C18138"/>
    <x v="4"/>
    <n v="3"/>
    <n v="539.46"/>
    <s v="520 Main St"/>
    <x v="2"/>
    <x v="0"/>
    <s v="TRK20289483"/>
    <n v="4"/>
    <s v="SAVE10"/>
    <x v="3"/>
    <x v="498"/>
    <m/>
  </r>
  <r>
    <s v="ORD200500"/>
    <x v="158"/>
    <s v="C79475"/>
    <x v="5"/>
    <n v="5"/>
    <n v="508.59"/>
    <s v="169 Main St"/>
    <x v="4"/>
    <x v="2"/>
    <s v="TRK42168516"/>
    <n v="8"/>
    <s v="WINTER15"/>
    <x v="3"/>
    <x v="499"/>
    <m/>
  </r>
  <r>
    <s v="ORD200501"/>
    <x v="389"/>
    <s v="C88546"/>
    <x v="6"/>
    <n v="4"/>
    <n v="203.46"/>
    <s v="226 Main St"/>
    <x v="2"/>
    <x v="4"/>
    <s v="TRK19867754"/>
    <n v="7"/>
    <s v="SAVE10"/>
    <x v="1"/>
    <x v="500"/>
    <m/>
  </r>
  <r>
    <s v="ORD200502"/>
    <x v="390"/>
    <s v="C69332"/>
    <x v="0"/>
    <n v="3"/>
    <n v="565.25"/>
    <s v="745 Main St"/>
    <x v="0"/>
    <x v="2"/>
    <s v="TRK65718848"/>
    <n v="7"/>
    <s v="SAVE10"/>
    <x v="2"/>
    <x v="501"/>
    <m/>
  </r>
  <r>
    <s v="ORD200503"/>
    <x v="303"/>
    <s v="C64554"/>
    <x v="2"/>
    <n v="3"/>
    <n v="136.84"/>
    <s v="498 Main St"/>
    <x v="1"/>
    <x v="4"/>
    <s v="TRK95384568"/>
    <n v="4"/>
    <s v="FREESHIP"/>
    <x v="3"/>
    <x v="502"/>
    <m/>
  </r>
  <r>
    <s v="ORD200504"/>
    <x v="113"/>
    <s v="C11676"/>
    <x v="0"/>
    <n v="2"/>
    <n v="464.5"/>
    <s v="805 Main St"/>
    <x v="1"/>
    <x v="1"/>
    <s v="TRK35726395"/>
    <n v="2"/>
    <s v="WINTER15"/>
    <x v="0"/>
    <x v="503"/>
    <m/>
  </r>
  <r>
    <s v="ORD200505"/>
    <x v="236"/>
    <s v="C36014"/>
    <x v="4"/>
    <n v="2"/>
    <n v="434.97"/>
    <s v="558 Main St"/>
    <x v="1"/>
    <x v="0"/>
    <s v="TRK97246526"/>
    <n v="7"/>
    <s v="NO COUPON"/>
    <x v="2"/>
    <x v="504"/>
    <m/>
  </r>
  <r>
    <s v="ORD200506"/>
    <x v="284"/>
    <s v="C23279"/>
    <x v="0"/>
    <n v="2"/>
    <n v="43.67"/>
    <s v="696 Main St"/>
    <x v="4"/>
    <x v="2"/>
    <s v="TRK58039693"/>
    <n v="4"/>
    <s v="WINTER15"/>
    <x v="0"/>
    <x v="505"/>
    <m/>
  </r>
  <r>
    <s v="ORD200507"/>
    <x v="176"/>
    <s v="C86481"/>
    <x v="1"/>
    <n v="1"/>
    <n v="171.59"/>
    <s v="546 Main St"/>
    <x v="2"/>
    <x v="4"/>
    <s v="TRK87513944"/>
    <n v="5"/>
    <s v="WINTER15"/>
    <x v="2"/>
    <x v="506"/>
    <m/>
  </r>
  <r>
    <s v="ORD200508"/>
    <x v="391"/>
    <s v="C39550"/>
    <x v="1"/>
    <n v="1"/>
    <n v="558.27"/>
    <s v="976 Main St"/>
    <x v="1"/>
    <x v="3"/>
    <s v="TRK24120267"/>
    <n v="1"/>
    <s v="NO COUPON"/>
    <x v="1"/>
    <x v="507"/>
    <m/>
  </r>
  <r>
    <s v="ORD200509"/>
    <x v="392"/>
    <s v="C68937"/>
    <x v="5"/>
    <n v="2"/>
    <n v="425.03"/>
    <s v="560 Main St"/>
    <x v="4"/>
    <x v="2"/>
    <s v="TRK31908657"/>
    <n v="2"/>
    <s v="WINTER15"/>
    <x v="4"/>
    <x v="508"/>
    <m/>
  </r>
  <r>
    <s v="ORD200510"/>
    <x v="393"/>
    <s v="C72533"/>
    <x v="4"/>
    <n v="1"/>
    <n v="376.76"/>
    <s v="389 Main St"/>
    <x v="0"/>
    <x v="3"/>
    <s v="TRK51288986"/>
    <n v="5"/>
    <s v="SAVE10"/>
    <x v="2"/>
    <x v="509"/>
    <m/>
  </r>
  <r>
    <s v="ORD200511"/>
    <x v="394"/>
    <s v="C11415"/>
    <x v="0"/>
    <n v="5"/>
    <n v="575.24"/>
    <s v="267 Main St"/>
    <x v="4"/>
    <x v="3"/>
    <s v="TRK65061457"/>
    <n v="7"/>
    <s v="WINTER15"/>
    <x v="2"/>
    <x v="510"/>
    <m/>
  </r>
  <r>
    <s v="ORD200512"/>
    <x v="395"/>
    <s v="C14114"/>
    <x v="6"/>
    <n v="3"/>
    <n v="568.02"/>
    <s v="856 Main St"/>
    <x v="1"/>
    <x v="4"/>
    <s v="TRK63290700"/>
    <n v="3"/>
    <s v="FREESHIP"/>
    <x v="0"/>
    <x v="511"/>
    <m/>
  </r>
  <r>
    <s v="ORD200513"/>
    <x v="396"/>
    <s v="C64128"/>
    <x v="2"/>
    <n v="3"/>
    <n v="94.88"/>
    <s v="533 Main St"/>
    <x v="3"/>
    <x v="0"/>
    <s v="TRK37053575"/>
    <n v="8"/>
    <s v="NO COUPON"/>
    <x v="1"/>
    <x v="512"/>
    <m/>
  </r>
  <r>
    <s v="ORD200514"/>
    <x v="397"/>
    <s v="C15629"/>
    <x v="4"/>
    <n v="3"/>
    <n v="304.14999999999998"/>
    <s v="492 Main St"/>
    <x v="3"/>
    <x v="0"/>
    <s v="TRK64926044"/>
    <n v="3"/>
    <s v="WINTER15"/>
    <x v="0"/>
    <x v="513"/>
    <m/>
  </r>
  <r>
    <s v="ORD200515"/>
    <x v="369"/>
    <s v="C67561"/>
    <x v="1"/>
    <n v="3"/>
    <n v="553.52"/>
    <s v="160 Main St"/>
    <x v="3"/>
    <x v="0"/>
    <s v="TRK75900717"/>
    <n v="4"/>
    <s v="FREESHIP"/>
    <x v="3"/>
    <x v="514"/>
    <m/>
  </r>
  <r>
    <s v="ORD200516"/>
    <x v="158"/>
    <s v="C47022"/>
    <x v="0"/>
    <n v="3"/>
    <n v="166.99"/>
    <s v="208 Main St"/>
    <x v="4"/>
    <x v="2"/>
    <s v="TRK28855040"/>
    <n v="8"/>
    <s v="NO COUPON"/>
    <x v="3"/>
    <x v="515"/>
    <m/>
  </r>
  <r>
    <s v="ORD200517"/>
    <x v="398"/>
    <s v="C55205"/>
    <x v="2"/>
    <n v="4"/>
    <n v="198.35"/>
    <s v="943 Main St"/>
    <x v="4"/>
    <x v="1"/>
    <s v="TRK88141634"/>
    <n v="7"/>
    <s v="FREESHIP"/>
    <x v="4"/>
    <x v="516"/>
    <m/>
  </r>
  <r>
    <s v="ORD200518"/>
    <x v="399"/>
    <s v="C30686"/>
    <x v="4"/>
    <n v="4"/>
    <n v="403.58"/>
    <s v="319 Main St"/>
    <x v="1"/>
    <x v="4"/>
    <s v="TRK59807273"/>
    <n v="9"/>
    <s v="SAVE10"/>
    <x v="1"/>
    <x v="517"/>
    <m/>
  </r>
  <r>
    <s v="ORD200519"/>
    <x v="400"/>
    <s v="C71797"/>
    <x v="5"/>
    <n v="4"/>
    <n v="464.29"/>
    <s v="941 Main St"/>
    <x v="0"/>
    <x v="2"/>
    <s v="TRK66010667"/>
    <n v="5"/>
    <s v="SAVE10"/>
    <x v="2"/>
    <x v="518"/>
    <m/>
  </r>
  <r>
    <s v="ORD200520"/>
    <x v="401"/>
    <s v="C66332"/>
    <x v="0"/>
    <n v="3"/>
    <n v="635.98"/>
    <s v="959 Main St"/>
    <x v="4"/>
    <x v="2"/>
    <s v="TRK27063398"/>
    <n v="5"/>
    <s v="NO COUPON"/>
    <x v="1"/>
    <x v="519"/>
    <m/>
  </r>
  <r>
    <s v="ORD200521"/>
    <x v="402"/>
    <s v="C82318"/>
    <x v="1"/>
    <n v="1"/>
    <n v="528.05999999999995"/>
    <s v="991 Main St"/>
    <x v="2"/>
    <x v="0"/>
    <s v="TRK37534165"/>
    <n v="2"/>
    <s v="NO COUPON"/>
    <x v="3"/>
    <x v="520"/>
    <m/>
  </r>
  <r>
    <s v="ORD200522"/>
    <x v="322"/>
    <s v="C66254"/>
    <x v="3"/>
    <n v="1"/>
    <n v="515.32000000000005"/>
    <s v="740 Main St"/>
    <x v="3"/>
    <x v="1"/>
    <s v="TRK82843861"/>
    <n v="1"/>
    <s v="FREESHIP"/>
    <x v="2"/>
    <x v="521"/>
    <m/>
  </r>
  <r>
    <s v="ORD200523"/>
    <x v="403"/>
    <s v="C65083"/>
    <x v="6"/>
    <n v="4"/>
    <n v="657.79"/>
    <s v="652 Main St"/>
    <x v="2"/>
    <x v="2"/>
    <s v="TRK60937148"/>
    <n v="6"/>
    <s v="WINTER15"/>
    <x v="4"/>
    <x v="522"/>
    <m/>
  </r>
  <r>
    <s v="ORD200524"/>
    <x v="385"/>
    <s v="C44778"/>
    <x v="1"/>
    <n v="1"/>
    <n v="153"/>
    <s v="103 Main St"/>
    <x v="2"/>
    <x v="2"/>
    <s v="TRK92617366"/>
    <n v="4"/>
    <s v="NO COUPON"/>
    <x v="1"/>
    <x v="523"/>
    <m/>
  </r>
  <r>
    <s v="ORD200525"/>
    <x v="404"/>
    <s v="C54499"/>
    <x v="0"/>
    <n v="1"/>
    <n v="668.48"/>
    <s v="160 Main St"/>
    <x v="0"/>
    <x v="0"/>
    <s v="TRK18061555"/>
    <n v="1"/>
    <s v="SAVE10"/>
    <x v="2"/>
    <x v="524"/>
    <m/>
  </r>
  <r>
    <s v="ORD200526"/>
    <x v="405"/>
    <s v="C91201"/>
    <x v="6"/>
    <n v="2"/>
    <n v="46.5"/>
    <s v="837 Main St"/>
    <x v="4"/>
    <x v="2"/>
    <s v="TRK63526023"/>
    <n v="7"/>
    <s v="WINTER15"/>
    <x v="4"/>
    <x v="525"/>
    <m/>
  </r>
  <r>
    <s v="ORD200527"/>
    <x v="406"/>
    <s v="C27202"/>
    <x v="3"/>
    <n v="5"/>
    <n v="653.47"/>
    <s v="967 Main St"/>
    <x v="2"/>
    <x v="1"/>
    <s v="TRK75406128"/>
    <n v="10"/>
    <s v="SAVE10"/>
    <x v="1"/>
    <x v="526"/>
    <m/>
  </r>
  <r>
    <s v="ORD200528"/>
    <x v="407"/>
    <s v="C32011"/>
    <x v="3"/>
    <n v="1"/>
    <n v="628.89"/>
    <s v="686 Main St"/>
    <x v="2"/>
    <x v="2"/>
    <s v="TRK70997744"/>
    <n v="2"/>
    <s v="SAVE10"/>
    <x v="1"/>
    <x v="527"/>
    <m/>
  </r>
  <r>
    <s v="ORD200529"/>
    <x v="158"/>
    <s v="C21181"/>
    <x v="2"/>
    <n v="2"/>
    <n v="675.1"/>
    <s v="938 Main St"/>
    <x v="4"/>
    <x v="4"/>
    <s v="TRK50363421"/>
    <n v="4"/>
    <s v="FREESHIP"/>
    <x v="4"/>
    <x v="528"/>
    <m/>
  </r>
  <r>
    <s v="ORD200530"/>
    <x v="408"/>
    <s v="C98450"/>
    <x v="3"/>
    <n v="4"/>
    <n v="89.41"/>
    <s v="613 Main St"/>
    <x v="1"/>
    <x v="4"/>
    <s v="TRK14809530"/>
    <n v="9"/>
    <s v="NO COUPON"/>
    <x v="4"/>
    <x v="529"/>
    <m/>
  </r>
  <r>
    <s v="ORD200531"/>
    <x v="367"/>
    <s v="C64502"/>
    <x v="6"/>
    <n v="5"/>
    <n v="320.01"/>
    <s v="722 Main St"/>
    <x v="3"/>
    <x v="3"/>
    <s v="TRK14914388"/>
    <n v="6"/>
    <s v="NO COUPON"/>
    <x v="1"/>
    <x v="530"/>
    <m/>
  </r>
  <r>
    <s v="ORD200532"/>
    <x v="120"/>
    <s v="C47365"/>
    <x v="5"/>
    <n v="2"/>
    <n v="41"/>
    <s v="369 Main St"/>
    <x v="1"/>
    <x v="3"/>
    <s v="TRK42207882"/>
    <n v="7"/>
    <s v="NO COUPON"/>
    <x v="2"/>
    <x v="531"/>
    <m/>
  </r>
  <r>
    <s v="ORD200533"/>
    <x v="409"/>
    <s v="C66349"/>
    <x v="6"/>
    <n v="1"/>
    <n v="565.85"/>
    <s v="715 Main St"/>
    <x v="3"/>
    <x v="2"/>
    <s v="TRK63550793"/>
    <n v="1"/>
    <s v="FREESHIP"/>
    <x v="3"/>
    <x v="532"/>
    <m/>
  </r>
  <r>
    <s v="ORD200534"/>
    <x v="309"/>
    <s v="C73289"/>
    <x v="3"/>
    <n v="3"/>
    <n v="648.59"/>
    <s v="906 Main St"/>
    <x v="0"/>
    <x v="1"/>
    <s v="TRK70872738"/>
    <n v="4"/>
    <s v="SAVE10"/>
    <x v="2"/>
    <x v="533"/>
    <m/>
  </r>
  <r>
    <s v="ORD200535"/>
    <x v="25"/>
    <s v="C48649"/>
    <x v="0"/>
    <n v="3"/>
    <n v="68.12"/>
    <s v="332 Main St"/>
    <x v="1"/>
    <x v="1"/>
    <s v="TRK45821445"/>
    <n v="3"/>
    <s v="FREESHIP"/>
    <x v="2"/>
    <x v="534"/>
    <m/>
  </r>
  <r>
    <s v="ORD200536"/>
    <x v="410"/>
    <s v="C18724"/>
    <x v="3"/>
    <n v="1"/>
    <n v="616.1"/>
    <s v="124 Main St"/>
    <x v="4"/>
    <x v="2"/>
    <s v="TRK52508861"/>
    <n v="6"/>
    <s v="NO COUPON"/>
    <x v="2"/>
    <x v="535"/>
    <m/>
  </r>
  <r>
    <s v="ORD200537"/>
    <x v="411"/>
    <s v="C68553"/>
    <x v="2"/>
    <n v="3"/>
    <n v="247.47"/>
    <s v="385 Main St"/>
    <x v="1"/>
    <x v="3"/>
    <s v="TRK58218971"/>
    <n v="4"/>
    <s v="SAVE10"/>
    <x v="3"/>
    <x v="536"/>
    <m/>
  </r>
  <r>
    <s v="ORD200538"/>
    <x v="75"/>
    <s v="C61280"/>
    <x v="1"/>
    <n v="3"/>
    <n v="490.74"/>
    <s v="100 Main St"/>
    <x v="4"/>
    <x v="0"/>
    <s v="TRK95487711"/>
    <n v="3"/>
    <s v="WINTER15"/>
    <x v="2"/>
    <x v="537"/>
    <m/>
  </r>
  <r>
    <s v="ORD200539"/>
    <x v="403"/>
    <s v="C53277"/>
    <x v="6"/>
    <n v="3"/>
    <n v="531.72"/>
    <s v="473 Main St"/>
    <x v="3"/>
    <x v="3"/>
    <s v="TRK17653832"/>
    <n v="7"/>
    <s v="SAVE10"/>
    <x v="4"/>
    <x v="538"/>
    <m/>
  </r>
  <r>
    <s v="ORD200540"/>
    <x v="412"/>
    <s v="C87281"/>
    <x v="5"/>
    <n v="5"/>
    <n v="648.65"/>
    <s v="852 Main St"/>
    <x v="1"/>
    <x v="4"/>
    <s v="TRK81765057"/>
    <n v="7"/>
    <s v="NO COUPON"/>
    <x v="1"/>
    <x v="539"/>
    <m/>
  </r>
  <r>
    <s v="ORD200541"/>
    <x v="413"/>
    <s v="C69009"/>
    <x v="4"/>
    <n v="5"/>
    <n v="456.06"/>
    <s v="879 Main St"/>
    <x v="4"/>
    <x v="4"/>
    <s v="TRK61295842"/>
    <n v="10"/>
    <s v="NO COUPON"/>
    <x v="0"/>
    <x v="540"/>
    <m/>
  </r>
  <r>
    <s v="ORD200542"/>
    <x v="414"/>
    <s v="C49726"/>
    <x v="2"/>
    <n v="1"/>
    <n v="17.98"/>
    <s v="934 Main St"/>
    <x v="4"/>
    <x v="1"/>
    <s v="TRK20739460"/>
    <n v="6"/>
    <s v="FREESHIP"/>
    <x v="2"/>
    <x v="541"/>
    <m/>
  </r>
  <r>
    <s v="ORD200543"/>
    <x v="415"/>
    <s v="C37531"/>
    <x v="6"/>
    <n v="5"/>
    <n v="269.86"/>
    <s v="354 Main St"/>
    <x v="4"/>
    <x v="0"/>
    <s v="TRK93877673"/>
    <n v="6"/>
    <s v="WINTER15"/>
    <x v="3"/>
    <x v="542"/>
    <m/>
  </r>
  <r>
    <s v="ORD200544"/>
    <x v="416"/>
    <s v="C48713"/>
    <x v="4"/>
    <n v="5"/>
    <n v="31.96"/>
    <s v="373 Main St"/>
    <x v="2"/>
    <x v="2"/>
    <s v="TRK96334419"/>
    <n v="5"/>
    <s v="FREESHIP"/>
    <x v="1"/>
    <x v="543"/>
    <m/>
  </r>
  <r>
    <s v="ORD200545"/>
    <x v="263"/>
    <s v="C74138"/>
    <x v="0"/>
    <n v="2"/>
    <n v="98.47"/>
    <s v="964 Main St"/>
    <x v="4"/>
    <x v="2"/>
    <s v="TRK74091695"/>
    <n v="3"/>
    <s v="NO COUPON"/>
    <x v="0"/>
    <x v="544"/>
    <m/>
  </r>
  <r>
    <s v="ORD200546"/>
    <x v="417"/>
    <s v="C82399"/>
    <x v="0"/>
    <n v="1"/>
    <n v="158.68"/>
    <s v="928 Main St"/>
    <x v="2"/>
    <x v="2"/>
    <s v="TRK77177284"/>
    <n v="6"/>
    <s v="WINTER15"/>
    <x v="0"/>
    <x v="545"/>
    <m/>
  </r>
  <r>
    <s v="ORD200547"/>
    <x v="38"/>
    <s v="C40427"/>
    <x v="1"/>
    <n v="1"/>
    <n v="613.98"/>
    <s v="411 Main St"/>
    <x v="1"/>
    <x v="3"/>
    <s v="TRK25392280"/>
    <n v="4"/>
    <s v="FREESHIP"/>
    <x v="3"/>
    <x v="546"/>
    <m/>
  </r>
  <r>
    <s v="ORD200548"/>
    <x v="80"/>
    <s v="C17103"/>
    <x v="4"/>
    <n v="3"/>
    <n v="426.12"/>
    <s v="922 Main St"/>
    <x v="1"/>
    <x v="3"/>
    <s v="TRK64398650"/>
    <n v="5"/>
    <s v="WINTER15"/>
    <x v="0"/>
    <x v="547"/>
    <m/>
  </r>
  <r>
    <s v="ORD200549"/>
    <x v="86"/>
    <s v="C34266"/>
    <x v="0"/>
    <n v="4"/>
    <n v="629.88"/>
    <s v="550 Main St"/>
    <x v="0"/>
    <x v="1"/>
    <s v="TRK56378197"/>
    <n v="8"/>
    <s v="WINTER15"/>
    <x v="0"/>
    <x v="548"/>
    <m/>
  </r>
  <r>
    <s v="ORD200550"/>
    <x v="418"/>
    <s v="C97485"/>
    <x v="5"/>
    <n v="4"/>
    <n v="228.91"/>
    <s v="573 Main St"/>
    <x v="4"/>
    <x v="0"/>
    <s v="TRK81794737"/>
    <n v="4"/>
    <s v="FREESHIP"/>
    <x v="4"/>
    <x v="549"/>
    <m/>
  </r>
  <r>
    <s v="ORD200551"/>
    <x v="419"/>
    <s v="C23947"/>
    <x v="5"/>
    <n v="1"/>
    <n v="120.98"/>
    <s v="353 Main St"/>
    <x v="0"/>
    <x v="3"/>
    <s v="TRK74812710"/>
    <n v="6"/>
    <s v="WINTER15"/>
    <x v="2"/>
    <x v="550"/>
    <m/>
  </r>
  <r>
    <s v="ORD200552"/>
    <x v="420"/>
    <s v="C21665"/>
    <x v="3"/>
    <n v="4"/>
    <n v="425.18"/>
    <s v="560 Main St"/>
    <x v="1"/>
    <x v="2"/>
    <s v="TRK29890761"/>
    <n v="8"/>
    <s v="WINTER15"/>
    <x v="3"/>
    <x v="551"/>
    <m/>
  </r>
  <r>
    <s v="ORD200553"/>
    <x v="421"/>
    <s v="C82550"/>
    <x v="1"/>
    <n v="2"/>
    <n v="333.83"/>
    <s v="828 Main St"/>
    <x v="3"/>
    <x v="1"/>
    <s v="TRK74103758"/>
    <n v="4"/>
    <s v="FREESHIP"/>
    <x v="1"/>
    <x v="552"/>
    <m/>
  </r>
  <r>
    <s v="ORD200554"/>
    <x v="422"/>
    <s v="C61943"/>
    <x v="5"/>
    <n v="2"/>
    <n v="492.9"/>
    <s v="610 Main St"/>
    <x v="4"/>
    <x v="2"/>
    <s v="TRK66126496"/>
    <n v="5"/>
    <s v="FREESHIP"/>
    <x v="0"/>
    <x v="553"/>
    <m/>
  </r>
  <r>
    <s v="ORD200555"/>
    <x v="33"/>
    <s v="C88933"/>
    <x v="2"/>
    <n v="1"/>
    <n v="92.04"/>
    <s v="333 Main St"/>
    <x v="4"/>
    <x v="0"/>
    <s v="TRK89306964"/>
    <n v="2"/>
    <s v="NO COUPON"/>
    <x v="3"/>
    <x v="554"/>
    <m/>
  </r>
  <r>
    <s v="ORD200556"/>
    <x v="423"/>
    <s v="C30923"/>
    <x v="5"/>
    <n v="1"/>
    <n v="654.27"/>
    <s v="932 Main St"/>
    <x v="3"/>
    <x v="4"/>
    <s v="TRK82609328"/>
    <n v="2"/>
    <s v="SAVE10"/>
    <x v="3"/>
    <x v="555"/>
    <m/>
  </r>
  <r>
    <s v="ORD200557"/>
    <x v="282"/>
    <s v="C56969"/>
    <x v="2"/>
    <n v="1"/>
    <n v="56.2"/>
    <s v="130 Main St"/>
    <x v="0"/>
    <x v="4"/>
    <s v="TRK40719215"/>
    <n v="1"/>
    <s v="WINTER15"/>
    <x v="3"/>
    <x v="556"/>
    <m/>
  </r>
  <r>
    <s v="ORD200558"/>
    <x v="424"/>
    <s v="C76766"/>
    <x v="1"/>
    <n v="4"/>
    <n v="628.12"/>
    <s v="485 Main St"/>
    <x v="1"/>
    <x v="3"/>
    <s v="TRK32052962"/>
    <n v="6"/>
    <s v="WINTER15"/>
    <x v="0"/>
    <x v="557"/>
    <m/>
  </r>
  <r>
    <s v="ORD200559"/>
    <x v="116"/>
    <s v="C22981"/>
    <x v="6"/>
    <n v="3"/>
    <n v="157.4"/>
    <s v="454 Main St"/>
    <x v="0"/>
    <x v="1"/>
    <s v="TRK10115285"/>
    <n v="7"/>
    <s v="WINTER15"/>
    <x v="2"/>
    <x v="558"/>
    <m/>
  </r>
  <r>
    <s v="ORD200560"/>
    <x v="425"/>
    <s v="C33634"/>
    <x v="0"/>
    <n v="4"/>
    <n v="588.85"/>
    <s v="524 Main St"/>
    <x v="3"/>
    <x v="4"/>
    <s v="TRK93168008"/>
    <n v="7"/>
    <s v="NO COUPON"/>
    <x v="2"/>
    <x v="559"/>
    <m/>
  </r>
  <r>
    <s v="ORD200561"/>
    <x v="425"/>
    <s v="C96822"/>
    <x v="4"/>
    <n v="2"/>
    <n v="494.78"/>
    <s v="198 Main St"/>
    <x v="1"/>
    <x v="0"/>
    <s v="TRK89180077"/>
    <n v="2"/>
    <s v="NO COUPON"/>
    <x v="4"/>
    <x v="560"/>
    <m/>
  </r>
  <r>
    <s v="ORD200562"/>
    <x v="426"/>
    <s v="C76675"/>
    <x v="5"/>
    <n v="3"/>
    <n v="663.93"/>
    <s v="922 Main St"/>
    <x v="3"/>
    <x v="2"/>
    <s v="TRK28043915"/>
    <n v="6"/>
    <s v="FREESHIP"/>
    <x v="2"/>
    <x v="561"/>
    <m/>
  </r>
  <r>
    <s v="ORD200563"/>
    <x v="427"/>
    <s v="C12039"/>
    <x v="5"/>
    <n v="1"/>
    <n v="132.68"/>
    <s v="844 Main St"/>
    <x v="0"/>
    <x v="2"/>
    <s v="TRK68645763"/>
    <n v="1"/>
    <s v="SAVE10"/>
    <x v="1"/>
    <x v="562"/>
    <m/>
  </r>
  <r>
    <s v="ORD200564"/>
    <x v="428"/>
    <s v="C93309"/>
    <x v="6"/>
    <n v="5"/>
    <n v="364.28"/>
    <s v="734 Main St"/>
    <x v="2"/>
    <x v="1"/>
    <s v="TRK99446987"/>
    <n v="5"/>
    <s v="WINTER15"/>
    <x v="4"/>
    <x v="563"/>
    <m/>
  </r>
  <r>
    <s v="ORD200565"/>
    <x v="429"/>
    <s v="C62042"/>
    <x v="2"/>
    <n v="5"/>
    <n v="307.98"/>
    <s v="214 Main St"/>
    <x v="1"/>
    <x v="4"/>
    <s v="TRK42605492"/>
    <n v="10"/>
    <s v="NO COUPON"/>
    <x v="3"/>
    <x v="564"/>
    <m/>
  </r>
  <r>
    <s v="ORD200566"/>
    <x v="171"/>
    <s v="C83223"/>
    <x v="1"/>
    <n v="4"/>
    <n v="162.71"/>
    <s v="167 Main St"/>
    <x v="4"/>
    <x v="1"/>
    <s v="TRK54339083"/>
    <n v="7"/>
    <s v="FREESHIP"/>
    <x v="2"/>
    <x v="565"/>
    <m/>
  </r>
  <r>
    <s v="ORD200567"/>
    <x v="430"/>
    <s v="C92575"/>
    <x v="3"/>
    <n v="5"/>
    <n v="492.94"/>
    <s v="153 Main St"/>
    <x v="4"/>
    <x v="0"/>
    <s v="TRK53579227"/>
    <n v="10"/>
    <s v="FREESHIP"/>
    <x v="2"/>
    <x v="566"/>
    <m/>
  </r>
  <r>
    <s v="ORD200568"/>
    <x v="401"/>
    <s v="C29072"/>
    <x v="5"/>
    <n v="2"/>
    <n v="343.99"/>
    <s v="312 Main St"/>
    <x v="1"/>
    <x v="3"/>
    <s v="TRK72334047"/>
    <n v="4"/>
    <s v="NO COUPON"/>
    <x v="4"/>
    <x v="567"/>
    <m/>
  </r>
  <r>
    <s v="ORD200569"/>
    <x v="29"/>
    <s v="C25783"/>
    <x v="6"/>
    <n v="5"/>
    <n v="250.68"/>
    <s v="672 Main St"/>
    <x v="4"/>
    <x v="0"/>
    <s v="TRK13289741"/>
    <n v="8"/>
    <s v="SAVE10"/>
    <x v="0"/>
    <x v="568"/>
    <m/>
  </r>
  <r>
    <s v="ORD200570"/>
    <x v="431"/>
    <s v="C63727"/>
    <x v="6"/>
    <n v="2"/>
    <n v="362.14"/>
    <s v="122 Main St"/>
    <x v="0"/>
    <x v="4"/>
    <s v="TRK13611021"/>
    <n v="2"/>
    <s v="SAVE10"/>
    <x v="0"/>
    <x v="569"/>
    <m/>
  </r>
  <r>
    <s v="ORD200571"/>
    <x v="432"/>
    <s v="C42365"/>
    <x v="2"/>
    <n v="1"/>
    <n v="214.08"/>
    <s v="867 Main St"/>
    <x v="3"/>
    <x v="2"/>
    <s v="TRK39563288"/>
    <n v="2"/>
    <s v="WINTER15"/>
    <x v="4"/>
    <x v="570"/>
    <m/>
  </r>
  <r>
    <s v="ORD200572"/>
    <x v="433"/>
    <s v="C27438"/>
    <x v="4"/>
    <n v="1"/>
    <n v="70.319999999999993"/>
    <s v="341 Main St"/>
    <x v="4"/>
    <x v="2"/>
    <s v="TRK69125497"/>
    <n v="4"/>
    <s v="WINTER15"/>
    <x v="3"/>
    <x v="571"/>
    <m/>
  </r>
  <r>
    <s v="ORD200573"/>
    <x v="261"/>
    <s v="C13205"/>
    <x v="3"/>
    <n v="5"/>
    <n v="421.42"/>
    <s v="522 Main St"/>
    <x v="0"/>
    <x v="1"/>
    <s v="TRK30686578"/>
    <n v="7"/>
    <s v="NO COUPON"/>
    <x v="0"/>
    <x v="572"/>
    <m/>
  </r>
  <r>
    <s v="ORD200574"/>
    <x v="434"/>
    <s v="C29685"/>
    <x v="3"/>
    <n v="5"/>
    <n v="384.69"/>
    <s v="275 Main St"/>
    <x v="2"/>
    <x v="4"/>
    <s v="TRK97733212"/>
    <n v="6"/>
    <s v="FREESHIP"/>
    <x v="2"/>
    <x v="573"/>
    <m/>
  </r>
  <r>
    <s v="ORD200575"/>
    <x v="323"/>
    <s v="C74005"/>
    <x v="3"/>
    <n v="5"/>
    <n v="448.15"/>
    <s v="528 Main St"/>
    <x v="3"/>
    <x v="2"/>
    <s v="TRK61640534"/>
    <n v="7"/>
    <s v="SAVE10"/>
    <x v="4"/>
    <x v="574"/>
    <m/>
  </r>
  <r>
    <s v="ORD200576"/>
    <x v="382"/>
    <s v="C14457"/>
    <x v="5"/>
    <n v="5"/>
    <n v="79.08"/>
    <s v="747 Main St"/>
    <x v="4"/>
    <x v="4"/>
    <s v="TRK42517811"/>
    <n v="8"/>
    <s v="NO COUPON"/>
    <x v="3"/>
    <x v="575"/>
    <m/>
  </r>
  <r>
    <s v="ORD200577"/>
    <x v="55"/>
    <s v="C77046"/>
    <x v="2"/>
    <n v="4"/>
    <n v="185.41"/>
    <s v="967 Main St"/>
    <x v="1"/>
    <x v="2"/>
    <s v="TRK44401497"/>
    <n v="9"/>
    <s v="WINTER15"/>
    <x v="4"/>
    <x v="576"/>
    <m/>
  </r>
  <r>
    <s v="ORD200578"/>
    <x v="84"/>
    <s v="C50415"/>
    <x v="0"/>
    <n v="5"/>
    <n v="566.07000000000005"/>
    <s v="587 Main St"/>
    <x v="2"/>
    <x v="3"/>
    <s v="TRK41345634"/>
    <n v="6"/>
    <s v="SAVE10"/>
    <x v="0"/>
    <x v="577"/>
    <m/>
  </r>
  <r>
    <s v="ORD200579"/>
    <x v="243"/>
    <s v="C73999"/>
    <x v="2"/>
    <n v="2"/>
    <n v="187.88"/>
    <s v="413 Main St"/>
    <x v="1"/>
    <x v="0"/>
    <s v="TRK67919507"/>
    <n v="4"/>
    <s v="WINTER15"/>
    <x v="3"/>
    <x v="578"/>
    <m/>
  </r>
  <r>
    <s v="ORD200580"/>
    <x v="414"/>
    <s v="C71076"/>
    <x v="0"/>
    <n v="2"/>
    <n v="255.99"/>
    <s v="340 Main St"/>
    <x v="2"/>
    <x v="3"/>
    <s v="TRK65148292"/>
    <n v="4"/>
    <s v="SAVE10"/>
    <x v="0"/>
    <x v="579"/>
    <m/>
  </r>
  <r>
    <s v="ORD200581"/>
    <x v="435"/>
    <s v="C44674"/>
    <x v="5"/>
    <n v="1"/>
    <n v="627.34"/>
    <s v="942 Main St"/>
    <x v="1"/>
    <x v="3"/>
    <s v="TRK87158684"/>
    <n v="1"/>
    <s v="NO COUPON"/>
    <x v="1"/>
    <x v="580"/>
    <m/>
  </r>
  <r>
    <s v="ORD200582"/>
    <x v="436"/>
    <s v="C15228"/>
    <x v="2"/>
    <n v="3"/>
    <n v="474.14"/>
    <s v="558 Main St"/>
    <x v="3"/>
    <x v="0"/>
    <s v="TRK33860620"/>
    <n v="8"/>
    <s v="WINTER15"/>
    <x v="4"/>
    <x v="581"/>
    <m/>
  </r>
  <r>
    <s v="ORD200583"/>
    <x v="437"/>
    <s v="C27072"/>
    <x v="3"/>
    <n v="3"/>
    <n v="154.37"/>
    <s v="996 Main St"/>
    <x v="3"/>
    <x v="3"/>
    <s v="TRK29750379"/>
    <n v="4"/>
    <s v="NO COUPON"/>
    <x v="0"/>
    <x v="582"/>
    <m/>
  </r>
  <r>
    <s v="ORD200584"/>
    <x v="438"/>
    <s v="C15257"/>
    <x v="3"/>
    <n v="4"/>
    <n v="145.05000000000001"/>
    <s v="626 Main St"/>
    <x v="1"/>
    <x v="3"/>
    <s v="TRK28779938"/>
    <n v="6"/>
    <s v="SAVE10"/>
    <x v="4"/>
    <x v="583"/>
    <m/>
  </r>
  <r>
    <s v="ORD200585"/>
    <x v="38"/>
    <s v="C91486"/>
    <x v="2"/>
    <n v="4"/>
    <n v="67.08"/>
    <s v="907 Main St"/>
    <x v="4"/>
    <x v="2"/>
    <s v="TRK79617136"/>
    <n v="8"/>
    <s v="WINTER15"/>
    <x v="4"/>
    <x v="584"/>
    <m/>
  </r>
  <r>
    <s v="ORD200586"/>
    <x v="337"/>
    <s v="C17389"/>
    <x v="0"/>
    <n v="1"/>
    <n v="522.08000000000004"/>
    <s v="905 Main St"/>
    <x v="3"/>
    <x v="2"/>
    <s v="TRK98857880"/>
    <n v="5"/>
    <s v="FREESHIP"/>
    <x v="1"/>
    <x v="585"/>
    <m/>
  </r>
  <r>
    <s v="ORD200587"/>
    <x v="439"/>
    <s v="C18820"/>
    <x v="0"/>
    <n v="5"/>
    <n v="514.6"/>
    <s v="347 Main St"/>
    <x v="3"/>
    <x v="3"/>
    <s v="TRK91547425"/>
    <n v="10"/>
    <s v="FREESHIP"/>
    <x v="0"/>
    <x v="586"/>
    <m/>
  </r>
  <r>
    <s v="ORD200588"/>
    <x v="440"/>
    <s v="C61849"/>
    <x v="0"/>
    <n v="4"/>
    <n v="577.82000000000005"/>
    <s v="811 Main St"/>
    <x v="2"/>
    <x v="3"/>
    <s v="TRK47613918"/>
    <n v="9"/>
    <s v="NO COUPON"/>
    <x v="4"/>
    <x v="587"/>
    <m/>
  </r>
  <r>
    <s v="ORD200589"/>
    <x v="441"/>
    <s v="C84041"/>
    <x v="5"/>
    <n v="2"/>
    <n v="500.8"/>
    <s v="900 Main St"/>
    <x v="4"/>
    <x v="3"/>
    <s v="TRK84920444"/>
    <n v="3"/>
    <s v="FREESHIP"/>
    <x v="1"/>
    <x v="588"/>
    <m/>
  </r>
  <r>
    <s v="ORD200590"/>
    <x v="442"/>
    <s v="C55757"/>
    <x v="4"/>
    <n v="2"/>
    <n v="461.13"/>
    <s v="175 Main St"/>
    <x v="3"/>
    <x v="2"/>
    <s v="TRK27356242"/>
    <n v="4"/>
    <s v="NO COUPON"/>
    <x v="2"/>
    <x v="589"/>
    <m/>
  </r>
  <r>
    <s v="ORD200591"/>
    <x v="249"/>
    <s v="C18187"/>
    <x v="5"/>
    <n v="1"/>
    <n v="605.28"/>
    <s v="470 Main St"/>
    <x v="3"/>
    <x v="0"/>
    <s v="TRK50528185"/>
    <n v="3"/>
    <s v="FREESHIP"/>
    <x v="1"/>
    <x v="590"/>
    <m/>
  </r>
  <r>
    <s v="ORD200592"/>
    <x v="234"/>
    <s v="C42306"/>
    <x v="1"/>
    <n v="3"/>
    <n v="204.27"/>
    <s v="938 Main St"/>
    <x v="1"/>
    <x v="2"/>
    <s v="TRK15499648"/>
    <n v="4"/>
    <s v="NO COUPON"/>
    <x v="4"/>
    <x v="591"/>
    <m/>
  </r>
  <r>
    <s v="ORD200593"/>
    <x v="443"/>
    <s v="C51024"/>
    <x v="0"/>
    <n v="1"/>
    <n v="489.8"/>
    <s v="636 Main St"/>
    <x v="3"/>
    <x v="0"/>
    <s v="TRK31375086"/>
    <n v="4"/>
    <s v="FREESHIP"/>
    <x v="3"/>
    <x v="592"/>
    <m/>
  </r>
  <r>
    <s v="ORD200594"/>
    <x v="444"/>
    <s v="C40140"/>
    <x v="1"/>
    <n v="5"/>
    <n v="72.64"/>
    <s v="598 Main St"/>
    <x v="2"/>
    <x v="1"/>
    <s v="TRK12671989"/>
    <n v="7"/>
    <s v="NO COUPON"/>
    <x v="2"/>
    <x v="593"/>
    <m/>
  </r>
  <r>
    <s v="ORD200595"/>
    <x v="445"/>
    <s v="C72596"/>
    <x v="4"/>
    <n v="2"/>
    <n v="385.16"/>
    <s v="491 Main St"/>
    <x v="1"/>
    <x v="4"/>
    <s v="TRK83870446"/>
    <n v="7"/>
    <s v="SAVE10"/>
    <x v="2"/>
    <x v="594"/>
    <m/>
  </r>
  <r>
    <s v="ORD200596"/>
    <x v="439"/>
    <s v="C91805"/>
    <x v="6"/>
    <n v="3"/>
    <n v="606.41"/>
    <s v="653 Main St"/>
    <x v="0"/>
    <x v="2"/>
    <s v="TRK34504030"/>
    <n v="7"/>
    <s v="FREESHIP"/>
    <x v="3"/>
    <x v="595"/>
    <m/>
  </r>
  <r>
    <s v="ORD200597"/>
    <x v="446"/>
    <s v="C40538"/>
    <x v="6"/>
    <n v="2"/>
    <n v="211.82"/>
    <s v="700 Main St"/>
    <x v="3"/>
    <x v="1"/>
    <s v="TRK29821356"/>
    <n v="4"/>
    <s v="WINTER15"/>
    <x v="2"/>
    <x v="596"/>
    <m/>
  </r>
  <r>
    <s v="ORD200598"/>
    <x v="447"/>
    <s v="C60329"/>
    <x v="6"/>
    <n v="5"/>
    <n v="495.35"/>
    <s v="826 Main St"/>
    <x v="2"/>
    <x v="4"/>
    <s v="TRK59069987"/>
    <n v="5"/>
    <s v="NO COUPON"/>
    <x v="3"/>
    <x v="597"/>
    <m/>
  </r>
  <r>
    <s v="ORD200599"/>
    <x v="30"/>
    <s v="C28740"/>
    <x v="3"/>
    <n v="3"/>
    <n v="556.99"/>
    <s v="123 Main St"/>
    <x v="1"/>
    <x v="1"/>
    <s v="TRK33642221"/>
    <n v="4"/>
    <s v="FREESHIP"/>
    <x v="3"/>
    <x v="598"/>
    <m/>
  </r>
  <r>
    <s v="ORD200600"/>
    <x v="68"/>
    <s v="C87051"/>
    <x v="4"/>
    <n v="1"/>
    <n v="72.31"/>
    <s v="460 Main St"/>
    <x v="3"/>
    <x v="1"/>
    <s v="TRK82056333"/>
    <n v="1"/>
    <s v="FREESHIP"/>
    <x v="3"/>
    <x v="599"/>
    <m/>
  </r>
  <r>
    <s v="ORD200601"/>
    <x v="276"/>
    <s v="C12479"/>
    <x v="0"/>
    <n v="5"/>
    <n v="24.82"/>
    <s v="529 Main St"/>
    <x v="2"/>
    <x v="0"/>
    <s v="TRK73935314"/>
    <n v="10"/>
    <s v="NO COUPON"/>
    <x v="1"/>
    <x v="600"/>
    <m/>
  </r>
  <r>
    <s v="ORD200602"/>
    <x v="448"/>
    <s v="C35852"/>
    <x v="2"/>
    <n v="4"/>
    <n v="26.04"/>
    <s v="982 Main St"/>
    <x v="1"/>
    <x v="4"/>
    <s v="TRK64660134"/>
    <n v="5"/>
    <s v="SAVE10"/>
    <x v="0"/>
    <x v="601"/>
    <m/>
  </r>
  <r>
    <s v="ORD200603"/>
    <x v="449"/>
    <s v="C26223"/>
    <x v="2"/>
    <n v="1"/>
    <n v="657.07"/>
    <s v="800 Main St"/>
    <x v="4"/>
    <x v="4"/>
    <s v="TRK50900547"/>
    <n v="4"/>
    <s v="SAVE10"/>
    <x v="4"/>
    <x v="602"/>
    <m/>
  </r>
  <r>
    <s v="ORD200604"/>
    <x v="450"/>
    <s v="C99214"/>
    <x v="3"/>
    <n v="3"/>
    <n v="32.619999999999997"/>
    <s v="252 Main St"/>
    <x v="0"/>
    <x v="3"/>
    <s v="TRK81368481"/>
    <n v="6"/>
    <s v="NO COUPON"/>
    <x v="3"/>
    <x v="603"/>
    <m/>
  </r>
  <r>
    <s v="ORD200605"/>
    <x v="451"/>
    <s v="C49605"/>
    <x v="0"/>
    <n v="2"/>
    <n v="228.91"/>
    <s v="892 Main St"/>
    <x v="0"/>
    <x v="0"/>
    <s v="TRK95620066"/>
    <n v="4"/>
    <s v="SAVE10"/>
    <x v="1"/>
    <x v="604"/>
    <m/>
  </r>
  <r>
    <s v="ORD200606"/>
    <x v="119"/>
    <s v="C85018"/>
    <x v="5"/>
    <n v="3"/>
    <n v="274.75"/>
    <s v="783 Main St"/>
    <x v="4"/>
    <x v="1"/>
    <s v="TRK54128886"/>
    <n v="3"/>
    <s v="SAVE10"/>
    <x v="4"/>
    <x v="605"/>
    <m/>
  </r>
  <r>
    <s v="ORD200607"/>
    <x v="133"/>
    <s v="C96434"/>
    <x v="4"/>
    <n v="4"/>
    <n v="634.04999999999995"/>
    <s v="282 Main St"/>
    <x v="4"/>
    <x v="0"/>
    <s v="TRK56730647"/>
    <n v="6"/>
    <s v="SAVE10"/>
    <x v="4"/>
    <x v="606"/>
    <m/>
  </r>
  <r>
    <s v="ORD200608"/>
    <x v="25"/>
    <s v="C32956"/>
    <x v="5"/>
    <n v="5"/>
    <n v="543.16"/>
    <s v="788 Main St"/>
    <x v="1"/>
    <x v="1"/>
    <s v="TRK73140103"/>
    <n v="6"/>
    <s v="SAVE10"/>
    <x v="0"/>
    <x v="607"/>
    <m/>
  </r>
  <r>
    <s v="ORD200609"/>
    <x v="109"/>
    <s v="C41137"/>
    <x v="3"/>
    <n v="3"/>
    <n v="449.13"/>
    <s v="809 Main St"/>
    <x v="4"/>
    <x v="2"/>
    <s v="TRK52732162"/>
    <n v="5"/>
    <s v="WINTER15"/>
    <x v="1"/>
    <x v="608"/>
    <m/>
  </r>
  <r>
    <s v="ORD200610"/>
    <x v="452"/>
    <s v="C60361"/>
    <x v="6"/>
    <n v="5"/>
    <n v="389.62"/>
    <s v="623 Main St"/>
    <x v="4"/>
    <x v="2"/>
    <s v="TRK83566924"/>
    <n v="7"/>
    <s v="FREESHIP"/>
    <x v="3"/>
    <x v="609"/>
    <m/>
  </r>
  <r>
    <s v="ORD200611"/>
    <x v="453"/>
    <s v="C36688"/>
    <x v="6"/>
    <n v="1"/>
    <n v="305.17"/>
    <s v="700 Main St"/>
    <x v="3"/>
    <x v="2"/>
    <s v="TRK35720426"/>
    <n v="3"/>
    <s v="WINTER15"/>
    <x v="1"/>
    <x v="610"/>
    <m/>
  </r>
  <r>
    <s v="ORD200612"/>
    <x v="454"/>
    <s v="C51811"/>
    <x v="3"/>
    <n v="3"/>
    <n v="445.12"/>
    <s v="339 Main St"/>
    <x v="3"/>
    <x v="1"/>
    <s v="TRK82377939"/>
    <n v="8"/>
    <s v="NO COUPON"/>
    <x v="4"/>
    <x v="611"/>
    <m/>
  </r>
  <r>
    <s v="ORD200613"/>
    <x v="36"/>
    <s v="C62405"/>
    <x v="5"/>
    <n v="2"/>
    <n v="230.36"/>
    <s v="154 Main St"/>
    <x v="1"/>
    <x v="2"/>
    <s v="TRK14721763"/>
    <n v="4"/>
    <s v="WINTER15"/>
    <x v="2"/>
    <x v="612"/>
    <m/>
  </r>
  <r>
    <s v="ORD200614"/>
    <x v="455"/>
    <s v="C77363"/>
    <x v="1"/>
    <n v="1"/>
    <n v="96.81"/>
    <s v="807 Main St"/>
    <x v="3"/>
    <x v="1"/>
    <s v="TRK12439827"/>
    <n v="3"/>
    <s v="NO COUPON"/>
    <x v="1"/>
    <x v="613"/>
    <m/>
  </r>
  <r>
    <s v="ORD200615"/>
    <x v="456"/>
    <s v="C97218"/>
    <x v="0"/>
    <n v="5"/>
    <n v="460.14"/>
    <s v="252 Main St"/>
    <x v="2"/>
    <x v="2"/>
    <s v="TRK52632065"/>
    <n v="10"/>
    <s v="WINTER15"/>
    <x v="3"/>
    <x v="614"/>
    <m/>
  </r>
  <r>
    <s v="ORD200616"/>
    <x v="457"/>
    <s v="C43919"/>
    <x v="2"/>
    <n v="3"/>
    <n v="601.6"/>
    <s v="984 Main St"/>
    <x v="2"/>
    <x v="1"/>
    <s v="TRK73113192"/>
    <n v="7"/>
    <s v="SAVE10"/>
    <x v="3"/>
    <x v="615"/>
    <m/>
  </r>
  <r>
    <s v="ORD200617"/>
    <x v="458"/>
    <s v="C57093"/>
    <x v="2"/>
    <n v="3"/>
    <n v="184.47"/>
    <s v="834 Main St"/>
    <x v="1"/>
    <x v="1"/>
    <s v="TRK75469057"/>
    <n v="4"/>
    <s v="NO COUPON"/>
    <x v="1"/>
    <x v="616"/>
    <m/>
  </r>
  <r>
    <s v="ORD200618"/>
    <x v="459"/>
    <s v="C50565"/>
    <x v="2"/>
    <n v="1"/>
    <n v="411.34"/>
    <s v="399 Main St"/>
    <x v="0"/>
    <x v="2"/>
    <s v="TRK97981418"/>
    <n v="5"/>
    <s v="NO COUPON"/>
    <x v="0"/>
    <x v="617"/>
    <m/>
  </r>
  <r>
    <s v="ORD200619"/>
    <x v="424"/>
    <s v="C38845"/>
    <x v="5"/>
    <n v="1"/>
    <n v="532.89"/>
    <s v="764 Main St"/>
    <x v="3"/>
    <x v="4"/>
    <s v="TRK47637374"/>
    <n v="2"/>
    <s v="NO COUPON"/>
    <x v="1"/>
    <x v="618"/>
    <m/>
  </r>
  <r>
    <s v="ORD200620"/>
    <x v="460"/>
    <s v="C84834"/>
    <x v="2"/>
    <n v="3"/>
    <n v="136.34"/>
    <s v="866 Main St"/>
    <x v="0"/>
    <x v="2"/>
    <s v="TRK90136001"/>
    <n v="8"/>
    <s v="SAVE10"/>
    <x v="1"/>
    <x v="619"/>
    <m/>
  </r>
  <r>
    <s v="ORD200621"/>
    <x v="356"/>
    <s v="C37455"/>
    <x v="1"/>
    <n v="5"/>
    <n v="476.01"/>
    <s v="146 Main St"/>
    <x v="2"/>
    <x v="3"/>
    <s v="TRK82685594"/>
    <n v="7"/>
    <s v="WINTER15"/>
    <x v="4"/>
    <x v="620"/>
    <m/>
  </r>
  <r>
    <s v="ORD200622"/>
    <x v="461"/>
    <s v="C27078"/>
    <x v="6"/>
    <n v="5"/>
    <n v="236.38"/>
    <s v="128 Main St"/>
    <x v="2"/>
    <x v="2"/>
    <s v="TRK89314307"/>
    <n v="7"/>
    <s v="NO COUPON"/>
    <x v="3"/>
    <x v="621"/>
    <m/>
  </r>
  <r>
    <s v="ORD200623"/>
    <x v="379"/>
    <s v="C91941"/>
    <x v="4"/>
    <n v="3"/>
    <n v="396"/>
    <s v="269 Main St"/>
    <x v="3"/>
    <x v="1"/>
    <s v="TRK21330732"/>
    <n v="4"/>
    <s v="FREESHIP"/>
    <x v="0"/>
    <x v="622"/>
    <m/>
  </r>
  <r>
    <s v="ORD200624"/>
    <x v="462"/>
    <s v="C25967"/>
    <x v="2"/>
    <n v="5"/>
    <n v="341.96"/>
    <s v="747 Main St"/>
    <x v="0"/>
    <x v="3"/>
    <s v="TRK88559278"/>
    <n v="6"/>
    <s v="NO COUPON"/>
    <x v="2"/>
    <x v="623"/>
    <m/>
  </r>
  <r>
    <s v="ORD200625"/>
    <x v="463"/>
    <s v="C22123"/>
    <x v="2"/>
    <n v="1"/>
    <n v="672.89"/>
    <s v="519 Main St"/>
    <x v="2"/>
    <x v="4"/>
    <s v="TRK43250279"/>
    <n v="1"/>
    <s v="WINTER15"/>
    <x v="2"/>
    <x v="624"/>
    <m/>
  </r>
  <r>
    <s v="ORD200626"/>
    <x v="417"/>
    <s v="C45671"/>
    <x v="2"/>
    <n v="2"/>
    <n v="657.48"/>
    <s v="769 Main St"/>
    <x v="1"/>
    <x v="0"/>
    <s v="TRK18179773"/>
    <n v="5"/>
    <s v="SAVE10"/>
    <x v="1"/>
    <x v="625"/>
    <m/>
  </r>
  <r>
    <s v="ORD200627"/>
    <x v="464"/>
    <s v="C53334"/>
    <x v="3"/>
    <n v="3"/>
    <n v="498.68"/>
    <s v="879 Main St"/>
    <x v="1"/>
    <x v="2"/>
    <s v="TRK31724421"/>
    <n v="4"/>
    <s v="FREESHIP"/>
    <x v="2"/>
    <x v="626"/>
    <m/>
  </r>
  <r>
    <s v="ORD200628"/>
    <x v="465"/>
    <s v="C18717"/>
    <x v="4"/>
    <n v="5"/>
    <n v="558.63"/>
    <s v="861 Main St"/>
    <x v="4"/>
    <x v="4"/>
    <s v="TRK58568806"/>
    <n v="8"/>
    <s v="FREESHIP"/>
    <x v="1"/>
    <x v="627"/>
    <m/>
  </r>
  <r>
    <s v="ORD200629"/>
    <x v="466"/>
    <s v="C50137"/>
    <x v="1"/>
    <n v="3"/>
    <n v="19.73"/>
    <s v="840 Main St"/>
    <x v="1"/>
    <x v="4"/>
    <s v="TRK91836131"/>
    <n v="3"/>
    <s v="NO COUPON"/>
    <x v="1"/>
    <x v="628"/>
    <m/>
  </r>
  <r>
    <s v="ORD200630"/>
    <x v="467"/>
    <s v="C51481"/>
    <x v="0"/>
    <n v="5"/>
    <n v="248.84"/>
    <s v="140 Main St"/>
    <x v="0"/>
    <x v="1"/>
    <s v="TRK33437701"/>
    <n v="10"/>
    <s v="NO COUPON"/>
    <x v="0"/>
    <x v="629"/>
    <m/>
  </r>
  <r>
    <s v="ORD200631"/>
    <x v="169"/>
    <s v="C99128"/>
    <x v="3"/>
    <n v="3"/>
    <n v="46.11"/>
    <s v="360 Main St"/>
    <x v="3"/>
    <x v="2"/>
    <s v="TRK32426808"/>
    <n v="5"/>
    <s v="WINTER15"/>
    <x v="1"/>
    <x v="630"/>
    <m/>
  </r>
  <r>
    <s v="ORD200632"/>
    <x v="468"/>
    <s v="C67260"/>
    <x v="5"/>
    <n v="5"/>
    <n v="678.16"/>
    <s v="463 Main St"/>
    <x v="3"/>
    <x v="3"/>
    <s v="TRK38229104"/>
    <n v="7"/>
    <s v="WINTER15"/>
    <x v="3"/>
    <x v="631"/>
    <m/>
  </r>
  <r>
    <s v="ORD200633"/>
    <x v="294"/>
    <s v="C79533"/>
    <x v="5"/>
    <n v="5"/>
    <n v="601.72"/>
    <s v="921 Main St"/>
    <x v="3"/>
    <x v="1"/>
    <s v="TRK54711422"/>
    <n v="5"/>
    <s v="WINTER15"/>
    <x v="0"/>
    <x v="632"/>
    <m/>
  </r>
  <r>
    <s v="ORD200634"/>
    <x v="313"/>
    <s v="C66906"/>
    <x v="4"/>
    <n v="2"/>
    <n v="259.32"/>
    <s v="117 Main St"/>
    <x v="3"/>
    <x v="3"/>
    <s v="TRK31633755"/>
    <n v="2"/>
    <s v="WINTER15"/>
    <x v="1"/>
    <x v="633"/>
    <m/>
  </r>
  <r>
    <s v="ORD200635"/>
    <x v="141"/>
    <s v="C12818"/>
    <x v="3"/>
    <n v="3"/>
    <n v="63.68"/>
    <s v="434 Main St"/>
    <x v="4"/>
    <x v="2"/>
    <s v="TRK40879983"/>
    <n v="6"/>
    <s v="NO COUPON"/>
    <x v="3"/>
    <x v="634"/>
    <m/>
  </r>
  <r>
    <s v="ORD200636"/>
    <x v="469"/>
    <s v="C60384"/>
    <x v="5"/>
    <n v="4"/>
    <n v="371.07"/>
    <s v="336 Main St"/>
    <x v="4"/>
    <x v="1"/>
    <s v="TRK92080037"/>
    <n v="7"/>
    <s v="WINTER15"/>
    <x v="3"/>
    <x v="635"/>
    <m/>
  </r>
  <r>
    <s v="ORD200637"/>
    <x v="470"/>
    <s v="C92294"/>
    <x v="3"/>
    <n v="4"/>
    <n v="306.35000000000002"/>
    <s v="784 Main St"/>
    <x v="3"/>
    <x v="0"/>
    <s v="TRK23585765"/>
    <n v="7"/>
    <s v="WINTER15"/>
    <x v="1"/>
    <x v="636"/>
    <m/>
  </r>
  <r>
    <s v="ORD200638"/>
    <x v="3"/>
    <s v="C66840"/>
    <x v="2"/>
    <n v="4"/>
    <n v="578.27"/>
    <s v="547 Main St"/>
    <x v="1"/>
    <x v="3"/>
    <s v="TRK76929637"/>
    <n v="9"/>
    <s v="WINTER15"/>
    <x v="2"/>
    <x v="637"/>
    <m/>
  </r>
  <r>
    <s v="ORD200639"/>
    <x v="325"/>
    <s v="C22534"/>
    <x v="3"/>
    <n v="1"/>
    <n v="529.19000000000005"/>
    <s v="391 Main St"/>
    <x v="4"/>
    <x v="1"/>
    <s v="TRK17415798"/>
    <n v="5"/>
    <s v="NO COUPON"/>
    <x v="1"/>
    <x v="638"/>
    <m/>
  </r>
  <r>
    <s v="ORD200640"/>
    <x v="2"/>
    <s v="C46509"/>
    <x v="3"/>
    <n v="2"/>
    <n v="587.49"/>
    <s v="647 Main St"/>
    <x v="3"/>
    <x v="2"/>
    <s v="TRK24241664"/>
    <n v="6"/>
    <s v="SAVE10"/>
    <x v="1"/>
    <x v="639"/>
    <m/>
  </r>
  <r>
    <s v="ORD200641"/>
    <x v="471"/>
    <s v="C71680"/>
    <x v="4"/>
    <n v="4"/>
    <n v="567.57000000000005"/>
    <s v="814 Main St"/>
    <x v="0"/>
    <x v="4"/>
    <s v="TRK47386650"/>
    <n v="9"/>
    <s v="WINTER15"/>
    <x v="4"/>
    <x v="640"/>
    <m/>
  </r>
  <r>
    <s v="ORD200642"/>
    <x v="472"/>
    <s v="C15063"/>
    <x v="3"/>
    <n v="5"/>
    <n v="85.22"/>
    <s v="527 Main St"/>
    <x v="2"/>
    <x v="1"/>
    <s v="TRK10329390"/>
    <n v="7"/>
    <s v="FREESHIP"/>
    <x v="2"/>
    <x v="641"/>
    <m/>
  </r>
  <r>
    <s v="ORD200643"/>
    <x v="360"/>
    <s v="C77122"/>
    <x v="5"/>
    <n v="1"/>
    <n v="438.37"/>
    <s v="647 Main St"/>
    <x v="4"/>
    <x v="1"/>
    <s v="TRK75814880"/>
    <n v="4"/>
    <s v="SAVE10"/>
    <x v="1"/>
    <x v="642"/>
    <m/>
  </r>
  <r>
    <s v="ORD200644"/>
    <x v="375"/>
    <s v="C86524"/>
    <x v="3"/>
    <n v="2"/>
    <n v="366.23"/>
    <s v="961 Main St"/>
    <x v="4"/>
    <x v="0"/>
    <s v="TRK62490506"/>
    <n v="2"/>
    <s v="WINTER15"/>
    <x v="2"/>
    <x v="643"/>
    <m/>
  </r>
  <r>
    <s v="ORD200645"/>
    <x v="315"/>
    <s v="C82990"/>
    <x v="5"/>
    <n v="2"/>
    <n v="150.05000000000001"/>
    <s v="727 Main St"/>
    <x v="2"/>
    <x v="1"/>
    <s v="TRK68574801"/>
    <n v="4"/>
    <s v="SAVE10"/>
    <x v="3"/>
    <x v="644"/>
    <m/>
  </r>
  <r>
    <s v="ORD200646"/>
    <x v="122"/>
    <s v="C98761"/>
    <x v="3"/>
    <n v="4"/>
    <n v="498.51"/>
    <s v="804 Main St"/>
    <x v="0"/>
    <x v="0"/>
    <s v="TRK43262630"/>
    <n v="4"/>
    <s v="SAVE10"/>
    <x v="4"/>
    <x v="645"/>
    <m/>
  </r>
  <r>
    <s v="ORD200647"/>
    <x v="473"/>
    <s v="C54409"/>
    <x v="6"/>
    <n v="3"/>
    <n v="339.39"/>
    <s v="667 Main St"/>
    <x v="4"/>
    <x v="2"/>
    <s v="TRK67671316"/>
    <n v="7"/>
    <s v="FREESHIP"/>
    <x v="4"/>
    <x v="646"/>
    <m/>
  </r>
  <r>
    <s v="ORD200648"/>
    <x v="474"/>
    <s v="C89674"/>
    <x v="0"/>
    <n v="2"/>
    <n v="575.83000000000004"/>
    <s v="182 Main St"/>
    <x v="1"/>
    <x v="3"/>
    <s v="TRK45902512"/>
    <n v="3"/>
    <s v="WINTER15"/>
    <x v="1"/>
    <x v="647"/>
    <m/>
  </r>
  <r>
    <s v="ORD200649"/>
    <x v="475"/>
    <s v="C45899"/>
    <x v="0"/>
    <n v="2"/>
    <n v="642.98"/>
    <s v="153 Main St"/>
    <x v="0"/>
    <x v="2"/>
    <s v="TRK32932093"/>
    <n v="7"/>
    <s v="FREESHIP"/>
    <x v="2"/>
    <x v="648"/>
    <m/>
  </r>
  <r>
    <s v="ORD200650"/>
    <x v="419"/>
    <s v="C74499"/>
    <x v="6"/>
    <n v="2"/>
    <n v="372.23"/>
    <s v="518 Main St"/>
    <x v="3"/>
    <x v="3"/>
    <s v="TRK93767278"/>
    <n v="7"/>
    <s v="SAVE10"/>
    <x v="2"/>
    <x v="649"/>
    <m/>
  </r>
  <r>
    <s v="ORD200651"/>
    <x v="476"/>
    <s v="C81192"/>
    <x v="3"/>
    <n v="3"/>
    <n v="646.34"/>
    <s v="429 Main St"/>
    <x v="0"/>
    <x v="4"/>
    <s v="TRK76931118"/>
    <n v="5"/>
    <s v="NO COUPON"/>
    <x v="4"/>
    <x v="650"/>
    <m/>
  </r>
  <r>
    <s v="ORD200652"/>
    <x v="477"/>
    <s v="C71473"/>
    <x v="3"/>
    <n v="5"/>
    <n v="341.84"/>
    <s v="328 Main St"/>
    <x v="1"/>
    <x v="0"/>
    <s v="TRK94857335"/>
    <n v="8"/>
    <s v="FREESHIP"/>
    <x v="0"/>
    <x v="651"/>
    <m/>
  </r>
  <r>
    <s v="ORD200653"/>
    <x v="402"/>
    <s v="C59338"/>
    <x v="4"/>
    <n v="3"/>
    <n v="690.3"/>
    <s v="747 Main St"/>
    <x v="2"/>
    <x v="0"/>
    <s v="TRK12902764"/>
    <n v="6"/>
    <s v="WINTER15"/>
    <x v="4"/>
    <x v="652"/>
    <m/>
  </r>
  <r>
    <s v="ORD200654"/>
    <x v="439"/>
    <s v="C62661"/>
    <x v="2"/>
    <n v="3"/>
    <n v="382.37"/>
    <s v="863 Main St"/>
    <x v="0"/>
    <x v="2"/>
    <s v="TRK25748100"/>
    <n v="8"/>
    <s v="NO COUPON"/>
    <x v="0"/>
    <x v="653"/>
    <m/>
  </r>
  <r>
    <s v="ORD200655"/>
    <x v="369"/>
    <s v="C22101"/>
    <x v="3"/>
    <n v="2"/>
    <n v="132.6"/>
    <s v="262 Main St"/>
    <x v="0"/>
    <x v="1"/>
    <s v="TRK70711522"/>
    <n v="4"/>
    <s v="WINTER15"/>
    <x v="2"/>
    <x v="654"/>
    <m/>
  </r>
  <r>
    <s v="ORD200656"/>
    <x v="343"/>
    <s v="C51404"/>
    <x v="0"/>
    <n v="2"/>
    <n v="189.06"/>
    <s v="835 Main St"/>
    <x v="3"/>
    <x v="0"/>
    <s v="TRK85682500"/>
    <n v="7"/>
    <s v="SAVE10"/>
    <x v="3"/>
    <x v="655"/>
    <m/>
  </r>
  <r>
    <s v="ORD200657"/>
    <x v="478"/>
    <s v="C19384"/>
    <x v="2"/>
    <n v="4"/>
    <n v="87.79"/>
    <s v="532 Main St"/>
    <x v="4"/>
    <x v="1"/>
    <s v="TRK33207064"/>
    <n v="6"/>
    <s v="FREESHIP"/>
    <x v="0"/>
    <x v="656"/>
    <m/>
  </r>
  <r>
    <s v="ORD200658"/>
    <x v="479"/>
    <s v="C86864"/>
    <x v="4"/>
    <n v="2"/>
    <n v="46.36"/>
    <s v="670 Main St"/>
    <x v="3"/>
    <x v="2"/>
    <s v="TRK15323191"/>
    <n v="4"/>
    <s v="SAVE10"/>
    <x v="4"/>
    <x v="657"/>
    <m/>
  </r>
  <r>
    <s v="ORD200659"/>
    <x v="480"/>
    <s v="C24301"/>
    <x v="1"/>
    <n v="2"/>
    <n v="642.04"/>
    <s v="964 Main St"/>
    <x v="3"/>
    <x v="3"/>
    <s v="TRK55000075"/>
    <n v="4"/>
    <s v="WINTER15"/>
    <x v="2"/>
    <x v="658"/>
    <m/>
  </r>
  <r>
    <s v="ORD200660"/>
    <x v="481"/>
    <s v="C43842"/>
    <x v="3"/>
    <n v="2"/>
    <n v="651.57000000000005"/>
    <s v="933 Main St"/>
    <x v="0"/>
    <x v="0"/>
    <s v="TRK54084424"/>
    <n v="7"/>
    <s v="WINTER15"/>
    <x v="3"/>
    <x v="659"/>
    <m/>
  </r>
  <r>
    <s v="ORD200661"/>
    <x v="252"/>
    <s v="C63657"/>
    <x v="2"/>
    <n v="3"/>
    <n v="424.89"/>
    <s v="116 Main St"/>
    <x v="0"/>
    <x v="1"/>
    <s v="TRK86378984"/>
    <n v="6"/>
    <s v="FREESHIP"/>
    <x v="4"/>
    <x v="660"/>
    <m/>
  </r>
  <r>
    <s v="ORD200662"/>
    <x v="423"/>
    <s v="C98332"/>
    <x v="5"/>
    <n v="3"/>
    <n v="438.89"/>
    <s v="985 Main St"/>
    <x v="4"/>
    <x v="2"/>
    <s v="TRK85744797"/>
    <n v="3"/>
    <s v="NO COUPON"/>
    <x v="3"/>
    <x v="661"/>
    <m/>
  </r>
  <r>
    <s v="ORD200663"/>
    <x v="116"/>
    <s v="C59774"/>
    <x v="0"/>
    <n v="1"/>
    <n v="72.599999999999994"/>
    <s v="941 Main St"/>
    <x v="0"/>
    <x v="1"/>
    <s v="TRK87635135"/>
    <n v="6"/>
    <s v="FREESHIP"/>
    <x v="0"/>
    <x v="662"/>
    <m/>
  </r>
  <r>
    <s v="ORD200664"/>
    <x v="36"/>
    <s v="C14847"/>
    <x v="5"/>
    <n v="4"/>
    <n v="194.75"/>
    <s v="188 Main St"/>
    <x v="4"/>
    <x v="0"/>
    <s v="TRK46492755"/>
    <n v="5"/>
    <s v="NO COUPON"/>
    <x v="3"/>
    <x v="663"/>
    <m/>
  </r>
  <r>
    <s v="ORD200665"/>
    <x v="468"/>
    <s v="C83653"/>
    <x v="2"/>
    <n v="4"/>
    <n v="231.26"/>
    <s v="253 Main St"/>
    <x v="1"/>
    <x v="0"/>
    <s v="TRK32619935"/>
    <n v="6"/>
    <s v="WINTER15"/>
    <x v="4"/>
    <x v="664"/>
    <m/>
  </r>
  <r>
    <s v="ORD200666"/>
    <x v="169"/>
    <s v="C35711"/>
    <x v="0"/>
    <n v="4"/>
    <n v="327.12"/>
    <s v="788 Main St"/>
    <x v="2"/>
    <x v="1"/>
    <s v="TRK45281495"/>
    <n v="4"/>
    <s v="NO COUPON"/>
    <x v="2"/>
    <x v="665"/>
    <m/>
  </r>
  <r>
    <s v="ORD200667"/>
    <x v="71"/>
    <s v="C10477"/>
    <x v="5"/>
    <n v="1"/>
    <n v="466.42"/>
    <s v="172 Main St"/>
    <x v="3"/>
    <x v="4"/>
    <s v="TRK41505339"/>
    <n v="5"/>
    <s v="SAVE10"/>
    <x v="2"/>
    <x v="666"/>
    <m/>
  </r>
  <r>
    <s v="ORD200668"/>
    <x v="482"/>
    <s v="C61257"/>
    <x v="0"/>
    <n v="2"/>
    <n v="253.67"/>
    <s v="981 Main St"/>
    <x v="4"/>
    <x v="2"/>
    <s v="TRK25226070"/>
    <n v="3"/>
    <s v="WINTER15"/>
    <x v="3"/>
    <x v="667"/>
    <m/>
  </r>
  <r>
    <s v="ORD200669"/>
    <x v="483"/>
    <s v="C60547"/>
    <x v="6"/>
    <n v="1"/>
    <n v="257"/>
    <s v="812 Main St"/>
    <x v="0"/>
    <x v="1"/>
    <s v="TRK65694249"/>
    <n v="5"/>
    <s v="NO COUPON"/>
    <x v="1"/>
    <x v="668"/>
    <m/>
  </r>
  <r>
    <s v="ORD200670"/>
    <x v="171"/>
    <s v="C14576"/>
    <x v="6"/>
    <n v="4"/>
    <n v="539.20000000000005"/>
    <s v="747 Main St"/>
    <x v="2"/>
    <x v="4"/>
    <s v="TRK21637540"/>
    <n v="8"/>
    <s v="FREESHIP"/>
    <x v="4"/>
    <x v="669"/>
    <m/>
  </r>
  <r>
    <s v="ORD200671"/>
    <x v="484"/>
    <s v="C49282"/>
    <x v="3"/>
    <n v="5"/>
    <n v="50.74"/>
    <s v="737 Main St"/>
    <x v="3"/>
    <x v="1"/>
    <s v="TRK88653901"/>
    <n v="7"/>
    <s v="WINTER15"/>
    <x v="4"/>
    <x v="670"/>
    <m/>
  </r>
  <r>
    <s v="ORD200672"/>
    <x v="221"/>
    <s v="C14017"/>
    <x v="1"/>
    <n v="2"/>
    <n v="624.16"/>
    <s v="984 Main St"/>
    <x v="0"/>
    <x v="0"/>
    <s v="TRK71009446"/>
    <n v="2"/>
    <s v="SAVE10"/>
    <x v="0"/>
    <x v="671"/>
    <m/>
  </r>
  <r>
    <s v="ORD200673"/>
    <x v="485"/>
    <s v="C46504"/>
    <x v="2"/>
    <n v="2"/>
    <n v="372.92"/>
    <s v="131 Main St"/>
    <x v="2"/>
    <x v="3"/>
    <s v="TRK95024356"/>
    <n v="7"/>
    <s v="SAVE10"/>
    <x v="2"/>
    <x v="672"/>
    <m/>
  </r>
  <r>
    <s v="ORD200674"/>
    <x v="486"/>
    <s v="C56928"/>
    <x v="5"/>
    <n v="4"/>
    <n v="358.75"/>
    <s v="860 Main St"/>
    <x v="3"/>
    <x v="3"/>
    <s v="TRK57792939"/>
    <n v="9"/>
    <s v="SAVE10"/>
    <x v="3"/>
    <x v="673"/>
    <m/>
  </r>
  <r>
    <s v="ORD200675"/>
    <x v="76"/>
    <s v="C97749"/>
    <x v="6"/>
    <n v="3"/>
    <n v="342.02"/>
    <s v="906 Main St"/>
    <x v="0"/>
    <x v="4"/>
    <s v="TRK90233116"/>
    <n v="5"/>
    <s v="NO COUPON"/>
    <x v="2"/>
    <x v="674"/>
    <m/>
  </r>
  <r>
    <s v="ORD200676"/>
    <x v="127"/>
    <s v="C90431"/>
    <x v="5"/>
    <n v="2"/>
    <n v="422.34"/>
    <s v="985 Main St"/>
    <x v="2"/>
    <x v="1"/>
    <s v="TRK44151723"/>
    <n v="4"/>
    <s v="FREESHIP"/>
    <x v="0"/>
    <x v="675"/>
    <m/>
  </r>
  <r>
    <s v="ORD200677"/>
    <x v="487"/>
    <s v="C56722"/>
    <x v="2"/>
    <n v="5"/>
    <n v="22.07"/>
    <s v="179 Main St"/>
    <x v="1"/>
    <x v="1"/>
    <s v="TRK78778569"/>
    <n v="7"/>
    <s v="FREESHIP"/>
    <x v="0"/>
    <x v="676"/>
    <m/>
  </r>
  <r>
    <s v="ORD200678"/>
    <x v="167"/>
    <s v="C40863"/>
    <x v="3"/>
    <n v="3"/>
    <n v="163.13"/>
    <s v="457 Main St"/>
    <x v="3"/>
    <x v="0"/>
    <s v="TRK20553345"/>
    <n v="5"/>
    <s v="WINTER15"/>
    <x v="3"/>
    <x v="677"/>
    <m/>
  </r>
  <r>
    <s v="ORD200679"/>
    <x v="488"/>
    <s v="C40798"/>
    <x v="2"/>
    <n v="3"/>
    <n v="360.66"/>
    <s v="304 Main St"/>
    <x v="1"/>
    <x v="2"/>
    <s v="TRK66106697"/>
    <n v="5"/>
    <s v="FREESHIP"/>
    <x v="0"/>
    <x v="678"/>
    <m/>
  </r>
  <r>
    <s v="ORD200680"/>
    <x v="183"/>
    <s v="C16702"/>
    <x v="0"/>
    <n v="3"/>
    <n v="463.39"/>
    <s v="694 Main St"/>
    <x v="2"/>
    <x v="2"/>
    <s v="TRK16953491"/>
    <n v="3"/>
    <s v="NO COUPON"/>
    <x v="3"/>
    <x v="679"/>
    <m/>
  </r>
  <r>
    <s v="ORD200681"/>
    <x v="489"/>
    <s v="C38262"/>
    <x v="2"/>
    <n v="1"/>
    <n v="155.27000000000001"/>
    <s v="548 Main St"/>
    <x v="0"/>
    <x v="0"/>
    <s v="TRK47300502"/>
    <n v="6"/>
    <s v="NO COUPON"/>
    <x v="2"/>
    <x v="680"/>
    <m/>
  </r>
  <r>
    <s v="ORD200682"/>
    <x v="363"/>
    <s v="C50274"/>
    <x v="0"/>
    <n v="3"/>
    <n v="509.42"/>
    <s v="449 Main St"/>
    <x v="2"/>
    <x v="1"/>
    <s v="TRK91729086"/>
    <n v="5"/>
    <s v="FREESHIP"/>
    <x v="4"/>
    <x v="681"/>
    <m/>
  </r>
  <r>
    <s v="ORD200683"/>
    <x v="490"/>
    <s v="C91591"/>
    <x v="6"/>
    <n v="4"/>
    <n v="652.48"/>
    <s v="887 Main St"/>
    <x v="4"/>
    <x v="4"/>
    <s v="TRK23554043"/>
    <n v="5"/>
    <s v="FREESHIP"/>
    <x v="0"/>
    <x v="682"/>
    <m/>
  </r>
  <r>
    <s v="ORD200684"/>
    <x v="491"/>
    <s v="C96583"/>
    <x v="4"/>
    <n v="4"/>
    <n v="34.840000000000003"/>
    <s v="288 Main St"/>
    <x v="2"/>
    <x v="0"/>
    <s v="TRK64353241"/>
    <n v="8"/>
    <s v="NO COUPON"/>
    <x v="2"/>
    <x v="683"/>
    <m/>
  </r>
  <r>
    <s v="ORD200685"/>
    <x v="492"/>
    <s v="C64579"/>
    <x v="6"/>
    <n v="1"/>
    <n v="234.37"/>
    <s v="638 Main St"/>
    <x v="0"/>
    <x v="0"/>
    <s v="TRK10276565"/>
    <n v="5"/>
    <s v="FREESHIP"/>
    <x v="2"/>
    <x v="684"/>
    <m/>
  </r>
  <r>
    <s v="ORD200686"/>
    <x v="112"/>
    <s v="C41903"/>
    <x v="6"/>
    <n v="3"/>
    <n v="53.6"/>
    <s v="525 Main St"/>
    <x v="4"/>
    <x v="4"/>
    <s v="TRK59112382"/>
    <n v="4"/>
    <s v="WINTER15"/>
    <x v="3"/>
    <x v="685"/>
    <m/>
  </r>
  <r>
    <s v="ORD200687"/>
    <x v="493"/>
    <s v="C19742"/>
    <x v="2"/>
    <n v="1"/>
    <n v="332.09"/>
    <s v="408 Main St"/>
    <x v="3"/>
    <x v="2"/>
    <s v="TRK68845230"/>
    <n v="5"/>
    <s v="FREESHIP"/>
    <x v="0"/>
    <x v="686"/>
    <m/>
  </r>
  <r>
    <s v="ORD200688"/>
    <x v="26"/>
    <s v="C20077"/>
    <x v="0"/>
    <n v="4"/>
    <n v="593.22"/>
    <s v="154 Main St"/>
    <x v="2"/>
    <x v="1"/>
    <s v="TRK36415742"/>
    <n v="8"/>
    <s v="WINTER15"/>
    <x v="3"/>
    <x v="687"/>
    <m/>
  </r>
  <r>
    <s v="ORD200689"/>
    <x v="193"/>
    <s v="C13186"/>
    <x v="2"/>
    <n v="2"/>
    <n v="444.84"/>
    <s v="787 Main St"/>
    <x v="1"/>
    <x v="0"/>
    <s v="TRK56967415"/>
    <n v="7"/>
    <s v="NO COUPON"/>
    <x v="3"/>
    <x v="688"/>
    <m/>
  </r>
  <r>
    <s v="ORD200690"/>
    <x v="494"/>
    <s v="C29318"/>
    <x v="0"/>
    <n v="1"/>
    <n v="24.48"/>
    <s v="128 Main St"/>
    <x v="3"/>
    <x v="2"/>
    <s v="TRK88666721"/>
    <n v="1"/>
    <s v="NO COUPON"/>
    <x v="0"/>
    <x v="689"/>
    <m/>
  </r>
  <r>
    <s v="ORD200691"/>
    <x v="167"/>
    <s v="C36137"/>
    <x v="5"/>
    <n v="3"/>
    <n v="239.08"/>
    <s v="396 Main St"/>
    <x v="4"/>
    <x v="0"/>
    <s v="TRK57376416"/>
    <n v="8"/>
    <s v="NO COUPON"/>
    <x v="4"/>
    <x v="690"/>
    <m/>
  </r>
  <r>
    <s v="ORD200692"/>
    <x v="19"/>
    <s v="C25534"/>
    <x v="6"/>
    <n v="5"/>
    <n v="196.84"/>
    <s v="319 Main St"/>
    <x v="2"/>
    <x v="3"/>
    <s v="TRK68347402"/>
    <n v="5"/>
    <s v="WINTER15"/>
    <x v="0"/>
    <x v="691"/>
    <m/>
  </r>
  <r>
    <s v="ORD200693"/>
    <x v="495"/>
    <s v="C62070"/>
    <x v="0"/>
    <n v="1"/>
    <n v="176.58"/>
    <s v="674 Main St"/>
    <x v="0"/>
    <x v="2"/>
    <s v="TRK10267127"/>
    <n v="4"/>
    <s v="NO COUPON"/>
    <x v="1"/>
    <x v="692"/>
    <m/>
  </r>
  <r>
    <s v="ORD200694"/>
    <x v="276"/>
    <s v="C92049"/>
    <x v="4"/>
    <n v="4"/>
    <n v="666.52"/>
    <s v="619 Main St"/>
    <x v="4"/>
    <x v="0"/>
    <s v="TRK32287092"/>
    <n v="8"/>
    <s v="FREESHIP"/>
    <x v="2"/>
    <x v="693"/>
    <m/>
  </r>
  <r>
    <s v="ORD200695"/>
    <x v="432"/>
    <s v="C52604"/>
    <x v="4"/>
    <n v="5"/>
    <n v="101.3"/>
    <s v="553 Main St"/>
    <x v="1"/>
    <x v="0"/>
    <s v="TRK48839788"/>
    <n v="7"/>
    <s v="FREESHIP"/>
    <x v="2"/>
    <x v="694"/>
    <m/>
  </r>
  <r>
    <s v="ORD200696"/>
    <x v="226"/>
    <s v="C22429"/>
    <x v="3"/>
    <n v="4"/>
    <n v="151.19999999999999"/>
    <s v="965 Main St"/>
    <x v="3"/>
    <x v="4"/>
    <s v="TRK38572927"/>
    <n v="9"/>
    <s v="WINTER15"/>
    <x v="3"/>
    <x v="695"/>
    <m/>
  </r>
  <r>
    <s v="ORD200697"/>
    <x v="496"/>
    <s v="C27430"/>
    <x v="4"/>
    <n v="5"/>
    <n v="94.85"/>
    <s v="788 Main St"/>
    <x v="4"/>
    <x v="0"/>
    <s v="TRK45025840"/>
    <n v="6"/>
    <s v="WINTER15"/>
    <x v="2"/>
    <x v="696"/>
    <m/>
  </r>
  <r>
    <s v="ORD200698"/>
    <x v="0"/>
    <s v="C44366"/>
    <x v="5"/>
    <n v="2"/>
    <n v="388.22"/>
    <s v="169 Main St"/>
    <x v="4"/>
    <x v="3"/>
    <s v="TRK48658394"/>
    <n v="2"/>
    <s v="WINTER15"/>
    <x v="0"/>
    <x v="697"/>
    <m/>
  </r>
  <r>
    <s v="ORD200699"/>
    <x v="497"/>
    <s v="C36813"/>
    <x v="5"/>
    <n v="3"/>
    <n v="614.15"/>
    <s v="897 Main St"/>
    <x v="3"/>
    <x v="1"/>
    <s v="TRK84088900"/>
    <n v="3"/>
    <s v="NO COUPON"/>
    <x v="3"/>
    <x v="698"/>
    <m/>
  </r>
  <r>
    <s v="ORD200700"/>
    <x v="498"/>
    <s v="C40201"/>
    <x v="5"/>
    <n v="2"/>
    <n v="92.91"/>
    <s v="555 Main St"/>
    <x v="4"/>
    <x v="2"/>
    <s v="TRK30198779"/>
    <n v="3"/>
    <s v="WINTER15"/>
    <x v="0"/>
    <x v="699"/>
    <m/>
  </r>
  <r>
    <s v="ORD200701"/>
    <x v="499"/>
    <s v="C75456"/>
    <x v="0"/>
    <n v="3"/>
    <n v="92.22"/>
    <s v="115 Main St"/>
    <x v="2"/>
    <x v="3"/>
    <s v="TRK90519490"/>
    <n v="5"/>
    <s v="FREESHIP"/>
    <x v="2"/>
    <x v="700"/>
    <m/>
  </r>
  <r>
    <s v="ORD200702"/>
    <x v="410"/>
    <s v="C33315"/>
    <x v="4"/>
    <n v="3"/>
    <n v="562.54999999999995"/>
    <s v="154 Main St"/>
    <x v="0"/>
    <x v="2"/>
    <s v="TRK43589369"/>
    <n v="6"/>
    <s v="NO COUPON"/>
    <x v="2"/>
    <x v="701"/>
    <m/>
  </r>
  <r>
    <s v="ORD200703"/>
    <x v="500"/>
    <s v="C89336"/>
    <x v="6"/>
    <n v="1"/>
    <n v="92.79"/>
    <s v="799 Main St"/>
    <x v="4"/>
    <x v="4"/>
    <s v="TRK47665103"/>
    <n v="3"/>
    <s v="WINTER15"/>
    <x v="2"/>
    <x v="702"/>
    <m/>
  </r>
  <r>
    <s v="ORD200704"/>
    <x v="301"/>
    <s v="C96034"/>
    <x v="6"/>
    <n v="4"/>
    <n v="30.27"/>
    <s v="819 Main St"/>
    <x v="1"/>
    <x v="3"/>
    <s v="TRK87261034"/>
    <n v="9"/>
    <s v="FREESHIP"/>
    <x v="4"/>
    <x v="703"/>
    <m/>
  </r>
  <r>
    <s v="ORD200705"/>
    <x v="501"/>
    <s v="C50114"/>
    <x v="0"/>
    <n v="2"/>
    <n v="49.08"/>
    <s v="420 Main St"/>
    <x v="0"/>
    <x v="2"/>
    <s v="TRK20214786"/>
    <n v="7"/>
    <s v="FREESHIP"/>
    <x v="0"/>
    <x v="704"/>
    <m/>
  </r>
  <r>
    <s v="ORD200706"/>
    <x v="380"/>
    <s v="C85330"/>
    <x v="6"/>
    <n v="5"/>
    <n v="228.09"/>
    <s v="969 Main St"/>
    <x v="3"/>
    <x v="2"/>
    <s v="TRK97693301"/>
    <n v="9"/>
    <s v="FREESHIP"/>
    <x v="3"/>
    <x v="705"/>
    <m/>
  </r>
  <r>
    <s v="ORD200707"/>
    <x v="377"/>
    <s v="C31761"/>
    <x v="3"/>
    <n v="4"/>
    <n v="650.04"/>
    <s v="989 Main St"/>
    <x v="3"/>
    <x v="1"/>
    <s v="TRK17628852"/>
    <n v="6"/>
    <s v="SAVE10"/>
    <x v="3"/>
    <x v="706"/>
    <m/>
  </r>
  <r>
    <s v="ORD200708"/>
    <x v="155"/>
    <s v="C25268"/>
    <x v="4"/>
    <n v="1"/>
    <n v="665.11"/>
    <s v="788 Main St"/>
    <x v="4"/>
    <x v="4"/>
    <s v="TRK20481215"/>
    <n v="3"/>
    <s v="FREESHIP"/>
    <x v="0"/>
    <x v="707"/>
    <m/>
  </r>
  <r>
    <s v="ORD200709"/>
    <x v="34"/>
    <s v="C17132"/>
    <x v="6"/>
    <n v="1"/>
    <n v="386.03"/>
    <s v="855 Main St"/>
    <x v="1"/>
    <x v="4"/>
    <s v="TRK37504692"/>
    <n v="4"/>
    <s v="FREESHIP"/>
    <x v="4"/>
    <x v="708"/>
    <m/>
  </r>
  <r>
    <s v="ORD200710"/>
    <x v="319"/>
    <s v="C48790"/>
    <x v="5"/>
    <n v="5"/>
    <n v="21.54"/>
    <s v="113 Main St"/>
    <x v="3"/>
    <x v="2"/>
    <s v="TRK19086608"/>
    <n v="10"/>
    <s v="NO COUPON"/>
    <x v="4"/>
    <x v="709"/>
    <m/>
  </r>
  <r>
    <s v="ORD200711"/>
    <x v="502"/>
    <s v="C61070"/>
    <x v="2"/>
    <n v="2"/>
    <n v="475.78"/>
    <s v="632 Main St"/>
    <x v="1"/>
    <x v="0"/>
    <s v="TRK90764894"/>
    <n v="2"/>
    <s v="WINTER15"/>
    <x v="4"/>
    <x v="710"/>
    <m/>
  </r>
  <r>
    <s v="ORD200712"/>
    <x v="486"/>
    <s v="C56969"/>
    <x v="2"/>
    <n v="2"/>
    <n v="68.400000000000006"/>
    <s v="993 Main St"/>
    <x v="3"/>
    <x v="4"/>
    <s v="TRK10513339"/>
    <n v="7"/>
    <s v="FREESHIP"/>
    <x v="2"/>
    <x v="711"/>
    <m/>
  </r>
  <r>
    <s v="ORD200713"/>
    <x v="370"/>
    <s v="C65056"/>
    <x v="2"/>
    <n v="4"/>
    <n v="532.49"/>
    <s v="638 Main St"/>
    <x v="1"/>
    <x v="1"/>
    <s v="TRK31705278"/>
    <n v="6"/>
    <s v="SAVE10"/>
    <x v="3"/>
    <x v="712"/>
    <m/>
  </r>
  <r>
    <s v="ORD200714"/>
    <x v="453"/>
    <s v="C84888"/>
    <x v="5"/>
    <n v="1"/>
    <n v="51.73"/>
    <s v="278 Main St"/>
    <x v="0"/>
    <x v="4"/>
    <s v="TRK23612847"/>
    <n v="1"/>
    <s v="FREESHIP"/>
    <x v="3"/>
    <x v="713"/>
    <m/>
  </r>
  <r>
    <s v="ORD200715"/>
    <x v="503"/>
    <s v="C68266"/>
    <x v="4"/>
    <n v="3"/>
    <n v="653.63"/>
    <s v="281 Main St"/>
    <x v="1"/>
    <x v="3"/>
    <s v="TRK96161062"/>
    <n v="7"/>
    <s v="FREESHIP"/>
    <x v="2"/>
    <x v="714"/>
    <m/>
  </r>
  <r>
    <s v="ORD200716"/>
    <x v="136"/>
    <s v="C84115"/>
    <x v="3"/>
    <n v="3"/>
    <n v="454.29"/>
    <s v="891 Main St"/>
    <x v="2"/>
    <x v="4"/>
    <s v="TRK25466842"/>
    <n v="4"/>
    <s v="WINTER15"/>
    <x v="4"/>
    <x v="715"/>
    <m/>
  </r>
  <r>
    <s v="ORD200717"/>
    <x v="504"/>
    <s v="C50087"/>
    <x v="3"/>
    <n v="3"/>
    <n v="122.11"/>
    <s v="707 Main St"/>
    <x v="1"/>
    <x v="3"/>
    <s v="TRK31143760"/>
    <n v="4"/>
    <s v="WINTER15"/>
    <x v="2"/>
    <x v="716"/>
    <m/>
  </r>
  <r>
    <s v="ORD200718"/>
    <x v="505"/>
    <s v="C16790"/>
    <x v="5"/>
    <n v="4"/>
    <n v="64.739999999999995"/>
    <s v="718 Main St"/>
    <x v="3"/>
    <x v="1"/>
    <s v="TRK91791367"/>
    <n v="8"/>
    <s v="SAVE10"/>
    <x v="4"/>
    <x v="717"/>
    <m/>
  </r>
  <r>
    <s v="ORD200719"/>
    <x v="506"/>
    <s v="C46920"/>
    <x v="5"/>
    <n v="2"/>
    <n v="681.06"/>
    <s v="703 Main St"/>
    <x v="0"/>
    <x v="0"/>
    <s v="TRK86403837"/>
    <n v="3"/>
    <s v="FREESHIP"/>
    <x v="3"/>
    <x v="718"/>
    <m/>
  </r>
  <r>
    <s v="ORD200720"/>
    <x v="507"/>
    <s v="C12740"/>
    <x v="6"/>
    <n v="5"/>
    <n v="128.94999999999999"/>
    <s v="305 Main St"/>
    <x v="4"/>
    <x v="4"/>
    <s v="TRK98506513"/>
    <n v="10"/>
    <s v="FREESHIP"/>
    <x v="0"/>
    <x v="719"/>
    <m/>
  </r>
  <r>
    <s v="ORD200721"/>
    <x v="508"/>
    <s v="C46557"/>
    <x v="6"/>
    <n v="2"/>
    <n v="118.59"/>
    <s v="890 Main St"/>
    <x v="2"/>
    <x v="3"/>
    <s v="TRK56110689"/>
    <n v="2"/>
    <s v="NO COUPON"/>
    <x v="2"/>
    <x v="720"/>
    <m/>
  </r>
  <r>
    <s v="ORD200722"/>
    <x v="64"/>
    <s v="C58156"/>
    <x v="4"/>
    <n v="1"/>
    <n v="95.1"/>
    <s v="516 Main St"/>
    <x v="3"/>
    <x v="4"/>
    <s v="TRK49719458"/>
    <n v="1"/>
    <s v="WINTER15"/>
    <x v="0"/>
    <x v="721"/>
    <m/>
  </r>
  <r>
    <s v="ORD200723"/>
    <x v="509"/>
    <s v="C14455"/>
    <x v="6"/>
    <n v="3"/>
    <n v="54.95"/>
    <s v="385 Main St"/>
    <x v="4"/>
    <x v="2"/>
    <s v="TRK50933724"/>
    <n v="8"/>
    <s v="SAVE10"/>
    <x v="1"/>
    <x v="722"/>
    <m/>
  </r>
  <r>
    <s v="ORD200724"/>
    <x v="266"/>
    <s v="C63150"/>
    <x v="4"/>
    <n v="3"/>
    <n v="136.97"/>
    <s v="326 Main St"/>
    <x v="2"/>
    <x v="2"/>
    <s v="TRK19348078"/>
    <n v="4"/>
    <s v="FREESHIP"/>
    <x v="1"/>
    <x v="723"/>
    <m/>
  </r>
  <r>
    <s v="ORD200725"/>
    <x v="255"/>
    <s v="C95269"/>
    <x v="3"/>
    <n v="2"/>
    <n v="194.85"/>
    <s v="372 Main St"/>
    <x v="3"/>
    <x v="2"/>
    <s v="TRK45670926"/>
    <n v="5"/>
    <s v="NO COUPON"/>
    <x v="1"/>
    <x v="724"/>
    <m/>
  </r>
  <r>
    <s v="ORD200726"/>
    <x v="510"/>
    <s v="C18105"/>
    <x v="5"/>
    <n v="4"/>
    <n v="583.02"/>
    <s v="338 Main St"/>
    <x v="1"/>
    <x v="3"/>
    <s v="TRK94006117"/>
    <n v="4"/>
    <s v="FREESHIP"/>
    <x v="3"/>
    <x v="725"/>
    <m/>
  </r>
  <r>
    <s v="ORD200727"/>
    <x v="470"/>
    <s v="C29063"/>
    <x v="3"/>
    <n v="5"/>
    <n v="95.75"/>
    <s v="379 Main St"/>
    <x v="1"/>
    <x v="0"/>
    <s v="TRK92745947"/>
    <n v="8"/>
    <s v="SAVE10"/>
    <x v="0"/>
    <x v="726"/>
    <m/>
  </r>
  <r>
    <s v="ORD200728"/>
    <x v="511"/>
    <s v="C10154"/>
    <x v="6"/>
    <n v="4"/>
    <n v="325.76"/>
    <s v="827 Main St"/>
    <x v="3"/>
    <x v="0"/>
    <s v="TRK79793300"/>
    <n v="8"/>
    <s v="WINTER15"/>
    <x v="2"/>
    <x v="727"/>
    <m/>
  </r>
  <r>
    <s v="ORD200729"/>
    <x v="102"/>
    <s v="C36997"/>
    <x v="1"/>
    <n v="4"/>
    <n v="186.41"/>
    <s v="819 Main St"/>
    <x v="3"/>
    <x v="4"/>
    <s v="TRK92794872"/>
    <n v="6"/>
    <s v="SAVE10"/>
    <x v="4"/>
    <x v="728"/>
    <m/>
  </r>
  <r>
    <s v="ORD200730"/>
    <x v="512"/>
    <s v="C77357"/>
    <x v="1"/>
    <n v="1"/>
    <n v="474.6"/>
    <s v="407 Main St"/>
    <x v="0"/>
    <x v="3"/>
    <s v="TRK91943923"/>
    <n v="4"/>
    <s v="SAVE10"/>
    <x v="2"/>
    <x v="729"/>
    <m/>
  </r>
  <r>
    <s v="ORD200731"/>
    <x v="267"/>
    <s v="C71310"/>
    <x v="4"/>
    <n v="5"/>
    <n v="584.46"/>
    <s v="308 Main St"/>
    <x v="2"/>
    <x v="2"/>
    <s v="TRK48292586"/>
    <n v="8"/>
    <s v="NO COUPON"/>
    <x v="2"/>
    <x v="730"/>
    <m/>
  </r>
  <r>
    <s v="ORD200732"/>
    <x v="456"/>
    <s v="C80987"/>
    <x v="5"/>
    <n v="1"/>
    <n v="132.05000000000001"/>
    <s v="787 Main St"/>
    <x v="1"/>
    <x v="3"/>
    <s v="TRK42187776"/>
    <n v="2"/>
    <s v="NO COUPON"/>
    <x v="4"/>
    <x v="731"/>
    <m/>
  </r>
  <r>
    <s v="ORD200733"/>
    <x v="513"/>
    <s v="C90757"/>
    <x v="2"/>
    <n v="4"/>
    <n v="494.84"/>
    <s v="694 Main St"/>
    <x v="4"/>
    <x v="2"/>
    <s v="TRK87991608"/>
    <n v="8"/>
    <s v="SAVE10"/>
    <x v="2"/>
    <x v="732"/>
    <m/>
  </r>
  <r>
    <s v="ORD200734"/>
    <x v="514"/>
    <s v="C51898"/>
    <x v="4"/>
    <n v="4"/>
    <n v="224.61"/>
    <s v="630 Main St"/>
    <x v="2"/>
    <x v="2"/>
    <s v="TRK19767885"/>
    <n v="6"/>
    <s v="WINTER15"/>
    <x v="3"/>
    <x v="733"/>
    <m/>
  </r>
  <r>
    <s v="ORD200735"/>
    <x v="515"/>
    <s v="C94508"/>
    <x v="0"/>
    <n v="4"/>
    <n v="44.07"/>
    <s v="359 Main St"/>
    <x v="0"/>
    <x v="4"/>
    <s v="TRK13443264"/>
    <n v="6"/>
    <s v="NO COUPON"/>
    <x v="2"/>
    <x v="734"/>
    <m/>
  </r>
  <r>
    <s v="ORD200736"/>
    <x v="516"/>
    <s v="C59441"/>
    <x v="0"/>
    <n v="5"/>
    <n v="418.53"/>
    <s v="696 Main St"/>
    <x v="2"/>
    <x v="4"/>
    <s v="TRK66186874"/>
    <n v="6"/>
    <s v="FREESHIP"/>
    <x v="4"/>
    <x v="735"/>
    <m/>
  </r>
  <r>
    <s v="ORD200737"/>
    <x v="517"/>
    <s v="C91029"/>
    <x v="1"/>
    <n v="4"/>
    <n v="532.87"/>
    <s v="972 Main St"/>
    <x v="4"/>
    <x v="4"/>
    <s v="TRK25501930"/>
    <n v="9"/>
    <s v="FREESHIP"/>
    <x v="0"/>
    <x v="736"/>
    <m/>
  </r>
  <r>
    <s v="ORD200738"/>
    <x v="518"/>
    <s v="C96261"/>
    <x v="1"/>
    <n v="2"/>
    <n v="485.37"/>
    <s v="264 Main St"/>
    <x v="2"/>
    <x v="0"/>
    <s v="TRK44998396"/>
    <n v="5"/>
    <s v="SAVE10"/>
    <x v="2"/>
    <x v="737"/>
    <m/>
  </r>
  <r>
    <s v="ORD200739"/>
    <x v="136"/>
    <s v="C35123"/>
    <x v="1"/>
    <n v="4"/>
    <n v="386.73"/>
    <s v="513 Main St"/>
    <x v="4"/>
    <x v="3"/>
    <s v="TRK58979275"/>
    <n v="4"/>
    <s v="SAVE10"/>
    <x v="3"/>
    <x v="738"/>
    <m/>
  </r>
  <r>
    <s v="ORD200740"/>
    <x v="351"/>
    <s v="C10892"/>
    <x v="6"/>
    <n v="2"/>
    <n v="377.47"/>
    <s v="433 Main St"/>
    <x v="4"/>
    <x v="4"/>
    <s v="TRK76154554"/>
    <n v="7"/>
    <s v="NO COUPON"/>
    <x v="4"/>
    <x v="739"/>
    <m/>
  </r>
  <r>
    <s v="ORD200741"/>
    <x v="185"/>
    <s v="C99683"/>
    <x v="0"/>
    <n v="5"/>
    <n v="332.64"/>
    <s v="945 Main St"/>
    <x v="3"/>
    <x v="3"/>
    <s v="TRK87305883"/>
    <n v="10"/>
    <s v="NO COUPON"/>
    <x v="1"/>
    <x v="740"/>
    <m/>
  </r>
  <r>
    <s v="ORD200742"/>
    <x v="519"/>
    <s v="C41974"/>
    <x v="5"/>
    <n v="3"/>
    <n v="699.93"/>
    <s v="726 Main St"/>
    <x v="4"/>
    <x v="2"/>
    <s v="TRK48051468"/>
    <n v="7"/>
    <s v="SAVE10"/>
    <x v="4"/>
    <x v="741"/>
    <m/>
  </r>
  <r>
    <s v="ORD200743"/>
    <x v="430"/>
    <s v="C23978"/>
    <x v="0"/>
    <n v="1"/>
    <n v="576.35"/>
    <s v="549 Main St"/>
    <x v="3"/>
    <x v="2"/>
    <s v="TRK87090813"/>
    <n v="1"/>
    <s v="WINTER15"/>
    <x v="0"/>
    <x v="742"/>
    <m/>
  </r>
  <r>
    <s v="ORD200744"/>
    <x v="520"/>
    <s v="C10642"/>
    <x v="2"/>
    <n v="2"/>
    <n v="461.37"/>
    <s v="200 Main St"/>
    <x v="4"/>
    <x v="3"/>
    <s v="TRK98725693"/>
    <n v="5"/>
    <s v="SAVE10"/>
    <x v="4"/>
    <x v="743"/>
    <m/>
  </r>
  <r>
    <s v="ORD200745"/>
    <x v="521"/>
    <s v="C73813"/>
    <x v="4"/>
    <n v="4"/>
    <n v="111.3"/>
    <s v="364 Main St"/>
    <x v="0"/>
    <x v="4"/>
    <s v="TRK89906749"/>
    <n v="7"/>
    <s v="FREESHIP"/>
    <x v="2"/>
    <x v="744"/>
    <m/>
  </r>
  <r>
    <s v="ORD200746"/>
    <x v="522"/>
    <s v="C32183"/>
    <x v="6"/>
    <n v="3"/>
    <n v="661.89"/>
    <s v="551 Main St"/>
    <x v="1"/>
    <x v="1"/>
    <s v="TRK76287027"/>
    <n v="6"/>
    <s v="WINTER15"/>
    <x v="1"/>
    <x v="745"/>
    <m/>
  </r>
  <r>
    <s v="ORD200747"/>
    <x v="495"/>
    <s v="C54277"/>
    <x v="2"/>
    <n v="2"/>
    <n v="259.58"/>
    <s v="940 Main St"/>
    <x v="0"/>
    <x v="3"/>
    <s v="TRK26500181"/>
    <n v="7"/>
    <s v="FREESHIP"/>
    <x v="0"/>
    <x v="746"/>
    <m/>
  </r>
  <r>
    <s v="ORD200748"/>
    <x v="523"/>
    <s v="C56553"/>
    <x v="2"/>
    <n v="3"/>
    <n v="70.81"/>
    <s v="249 Main St"/>
    <x v="2"/>
    <x v="0"/>
    <s v="TRK37667360"/>
    <n v="8"/>
    <s v="FREESHIP"/>
    <x v="1"/>
    <x v="747"/>
    <m/>
  </r>
  <r>
    <s v="ORD200749"/>
    <x v="524"/>
    <s v="C17551"/>
    <x v="5"/>
    <n v="1"/>
    <n v="518.39"/>
    <s v="997 Main St"/>
    <x v="0"/>
    <x v="4"/>
    <s v="TRK88797170"/>
    <n v="4"/>
    <s v="FREESHIP"/>
    <x v="0"/>
    <x v="748"/>
    <m/>
  </r>
  <r>
    <s v="ORD200750"/>
    <x v="90"/>
    <s v="C14737"/>
    <x v="2"/>
    <n v="4"/>
    <n v="145.41"/>
    <s v="637 Main St"/>
    <x v="2"/>
    <x v="2"/>
    <s v="TRK10295115"/>
    <n v="7"/>
    <s v="FREESHIP"/>
    <x v="2"/>
    <x v="749"/>
    <m/>
  </r>
  <r>
    <s v="ORD200751"/>
    <x v="16"/>
    <s v="C35168"/>
    <x v="2"/>
    <n v="2"/>
    <n v="599.86"/>
    <s v="455 Main St"/>
    <x v="3"/>
    <x v="4"/>
    <s v="TRK76960854"/>
    <n v="7"/>
    <s v="FREESHIP"/>
    <x v="3"/>
    <x v="750"/>
    <m/>
  </r>
  <r>
    <s v="ORD200752"/>
    <x v="525"/>
    <s v="C82217"/>
    <x v="1"/>
    <n v="4"/>
    <n v="429.37"/>
    <s v="299 Main St"/>
    <x v="2"/>
    <x v="3"/>
    <s v="TRK33305694"/>
    <n v="8"/>
    <s v="FREESHIP"/>
    <x v="4"/>
    <x v="751"/>
    <m/>
  </r>
  <r>
    <s v="ORD200753"/>
    <x v="526"/>
    <s v="C42270"/>
    <x v="1"/>
    <n v="2"/>
    <n v="241.49"/>
    <s v="864 Main St"/>
    <x v="0"/>
    <x v="2"/>
    <s v="TRK72697796"/>
    <n v="7"/>
    <s v="FREESHIP"/>
    <x v="0"/>
    <x v="752"/>
    <m/>
  </r>
  <r>
    <s v="ORD200754"/>
    <x v="133"/>
    <s v="C48846"/>
    <x v="4"/>
    <n v="2"/>
    <n v="452.05"/>
    <s v="983 Main St"/>
    <x v="2"/>
    <x v="2"/>
    <s v="TRK52804097"/>
    <n v="3"/>
    <s v="WINTER15"/>
    <x v="2"/>
    <x v="753"/>
    <m/>
  </r>
  <r>
    <s v="ORD200755"/>
    <x v="527"/>
    <s v="C54160"/>
    <x v="6"/>
    <n v="3"/>
    <n v="336.71"/>
    <s v="658 Main St"/>
    <x v="2"/>
    <x v="4"/>
    <s v="TRK60515972"/>
    <n v="4"/>
    <s v="NO COUPON"/>
    <x v="2"/>
    <x v="754"/>
    <m/>
  </r>
  <r>
    <s v="ORD200756"/>
    <x v="326"/>
    <s v="C14080"/>
    <x v="1"/>
    <n v="1"/>
    <n v="283.69"/>
    <s v="202 Main St"/>
    <x v="3"/>
    <x v="0"/>
    <s v="TRK93163682"/>
    <n v="6"/>
    <s v="NO COUPON"/>
    <x v="4"/>
    <x v="755"/>
    <m/>
  </r>
  <r>
    <s v="ORD200757"/>
    <x v="27"/>
    <s v="C81074"/>
    <x v="6"/>
    <n v="1"/>
    <n v="157.72"/>
    <s v="597 Main St"/>
    <x v="0"/>
    <x v="3"/>
    <s v="TRK91105190"/>
    <n v="2"/>
    <s v="FREESHIP"/>
    <x v="4"/>
    <x v="756"/>
    <m/>
  </r>
  <r>
    <s v="ORD200758"/>
    <x v="465"/>
    <s v="C69021"/>
    <x v="2"/>
    <n v="3"/>
    <n v="624.84"/>
    <s v="917 Main St"/>
    <x v="2"/>
    <x v="1"/>
    <s v="TRK57148510"/>
    <n v="8"/>
    <s v="WINTER15"/>
    <x v="3"/>
    <x v="757"/>
    <m/>
  </r>
  <r>
    <s v="ORD200759"/>
    <x v="528"/>
    <s v="C96283"/>
    <x v="6"/>
    <n v="3"/>
    <n v="308.01"/>
    <s v="366 Main St"/>
    <x v="4"/>
    <x v="4"/>
    <s v="TRK91784124"/>
    <n v="3"/>
    <s v="FREESHIP"/>
    <x v="3"/>
    <x v="758"/>
    <m/>
  </r>
  <r>
    <s v="ORD200760"/>
    <x v="403"/>
    <s v="C96636"/>
    <x v="6"/>
    <n v="1"/>
    <n v="39.56"/>
    <s v="283 Main St"/>
    <x v="0"/>
    <x v="1"/>
    <s v="TRK73324346"/>
    <n v="5"/>
    <s v="NO COUPON"/>
    <x v="4"/>
    <x v="759"/>
    <m/>
  </r>
  <r>
    <s v="ORD200761"/>
    <x v="454"/>
    <s v="C37235"/>
    <x v="6"/>
    <n v="4"/>
    <n v="37.76"/>
    <s v="217 Main St"/>
    <x v="0"/>
    <x v="3"/>
    <s v="TRK67789367"/>
    <n v="7"/>
    <s v="NO COUPON"/>
    <x v="4"/>
    <x v="760"/>
    <m/>
  </r>
  <r>
    <s v="ORD200762"/>
    <x v="529"/>
    <s v="C12444"/>
    <x v="1"/>
    <n v="3"/>
    <n v="76.959999999999994"/>
    <s v="611 Main St"/>
    <x v="4"/>
    <x v="2"/>
    <s v="TRK97621403"/>
    <n v="8"/>
    <s v="FREESHIP"/>
    <x v="2"/>
    <x v="761"/>
    <m/>
  </r>
  <r>
    <s v="ORD200763"/>
    <x v="388"/>
    <s v="C79142"/>
    <x v="5"/>
    <n v="1"/>
    <n v="569.96"/>
    <s v="533 Main St"/>
    <x v="1"/>
    <x v="3"/>
    <s v="TRK30915955"/>
    <n v="4"/>
    <s v="FREESHIP"/>
    <x v="2"/>
    <x v="762"/>
    <m/>
  </r>
  <r>
    <s v="ORD200764"/>
    <x v="416"/>
    <s v="C35983"/>
    <x v="5"/>
    <n v="5"/>
    <n v="627.42999999999995"/>
    <s v="806 Main St"/>
    <x v="2"/>
    <x v="1"/>
    <s v="TRK14016163"/>
    <n v="10"/>
    <s v="FREESHIP"/>
    <x v="2"/>
    <x v="763"/>
    <m/>
  </r>
  <r>
    <s v="ORD200765"/>
    <x v="426"/>
    <s v="C36150"/>
    <x v="5"/>
    <n v="2"/>
    <n v="534.91"/>
    <s v="281 Main St"/>
    <x v="0"/>
    <x v="2"/>
    <s v="TRK96249043"/>
    <n v="5"/>
    <s v="SAVE10"/>
    <x v="4"/>
    <x v="764"/>
    <m/>
  </r>
  <r>
    <s v="ORD200766"/>
    <x v="55"/>
    <s v="C91454"/>
    <x v="4"/>
    <n v="2"/>
    <n v="278.88"/>
    <s v="494 Main St"/>
    <x v="0"/>
    <x v="4"/>
    <s v="TRK99985340"/>
    <n v="3"/>
    <s v="FREESHIP"/>
    <x v="1"/>
    <x v="765"/>
    <m/>
  </r>
  <r>
    <s v="ORD200767"/>
    <x v="479"/>
    <s v="C19368"/>
    <x v="2"/>
    <n v="2"/>
    <n v="323.22000000000003"/>
    <s v="517 Main St"/>
    <x v="2"/>
    <x v="3"/>
    <s v="TRK80436037"/>
    <n v="7"/>
    <s v="NO COUPON"/>
    <x v="0"/>
    <x v="766"/>
    <m/>
  </r>
  <r>
    <s v="ORD200768"/>
    <x v="355"/>
    <s v="C35987"/>
    <x v="2"/>
    <n v="5"/>
    <n v="653.46"/>
    <s v="165 Main St"/>
    <x v="4"/>
    <x v="1"/>
    <s v="TRK28918815"/>
    <n v="9"/>
    <s v="WINTER15"/>
    <x v="2"/>
    <x v="767"/>
    <m/>
  </r>
  <r>
    <s v="ORD200769"/>
    <x v="117"/>
    <s v="C13366"/>
    <x v="4"/>
    <n v="4"/>
    <n v="678.55"/>
    <s v="568 Main St"/>
    <x v="4"/>
    <x v="3"/>
    <s v="TRK98691410"/>
    <n v="5"/>
    <s v="NO COUPON"/>
    <x v="2"/>
    <x v="768"/>
    <m/>
  </r>
  <r>
    <s v="ORD200770"/>
    <x v="530"/>
    <s v="C72166"/>
    <x v="6"/>
    <n v="1"/>
    <n v="314.38"/>
    <s v="227 Main St"/>
    <x v="1"/>
    <x v="2"/>
    <s v="TRK67733444"/>
    <n v="6"/>
    <s v="NO COUPON"/>
    <x v="4"/>
    <x v="769"/>
    <m/>
  </r>
  <r>
    <s v="ORD200771"/>
    <x v="520"/>
    <s v="C20357"/>
    <x v="1"/>
    <n v="3"/>
    <n v="692.44"/>
    <s v="272 Main St"/>
    <x v="0"/>
    <x v="1"/>
    <s v="TRK82236408"/>
    <n v="8"/>
    <s v="FREESHIP"/>
    <x v="4"/>
    <x v="770"/>
    <m/>
  </r>
  <r>
    <s v="ORD200772"/>
    <x v="118"/>
    <s v="C33802"/>
    <x v="0"/>
    <n v="1"/>
    <n v="604.87"/>
    <s v="461 Main St"/>
    <x v="1"/>
    <x v="3"/>
    <s v="TRK25799478"/>
    <n v="4"/>
    <s v="NO COUPON"/>
    <x v="0"/>
    <x v="771"/>
    <m/>
  </r>
  <r>
    <s v="ORD200773"/>
    <x v="164"/>
    <s v="C99205"/>
    <x v="1"/>
    <n v="2"/>
    <n v="512.33000000000004"/>
    <s v="415 Main St"/>
    <x v="4"/>
    <x v="1"/>
    <s v="TRK48904015"/>
    <n v="7"/>
    <s v="NO COUPON"/>
    <x v="3"/>
    <x v="772"/>
    <m/>
  </r>
  <r>
    <s v="ORD200774"/>
    <x v="198"/>
    <s v="C29701"/>
    <x v="3"/>
    <n v="3"/>
    <n v="20.54"/>
    <s v="257 Main St"/>
    <x v="2"/>
    <x v="1"/>
    <s v="TRK42266846"/>
    <n v="3"/>
    <s v="FREESHIP"/>
    <x v="0"/>
    <x v="773"/>
    <m/>
  </r>
  <r>
    <s v="ORD200775"/>
    <x v="190"/>
    <s v="C73941"/>
    <x v="1"/>
    <n v="2"/>
    <n v="625.22"/>
    <s v="569 Main St"/>
    <x v="1"/>
    <x v="1"/>
    <s v="TRK22051900"/>
    <n v="5"/>
    <s v="NO COUPON"/>
    <x v="4"/>
    <x v="774"/>
    <m/>
  </r>
  <r>
    <s v="ORD200776"/>
    <x v="531"/>
    <s v="C69168"/>
    <x v="2"/>
    <n v="1"/>
    <n v="21.19"/>
    <s v="482 Main St"/>
    <x v="4"/>
    <x v="2"/>
    <s v="TRK10446197"/>
    <n v="5"/>
    <s v="WINTER15"/>
    <x v="4"/>
    <x v="775"/>
    <m/>
  </r>
  <r>
    <s v="ORD200777"/>
    <x v="438"/>
    <s v="C66116"/>
    <x v="3"/>
    <n v="5"/>
    <n v="64.489999999999995"/>
    <s v="633 Main St"/>
    <x v="1"/>
    <x v="1"/>
    <s v="TRK41967983"/>
    <n v="7"/>
    <s v="NO COUPON"/>
    <x v="3"/>
    <x v="776"/>
    <m/>
  </r>
  <r>
    <s v="ORD200778"/>
    <x v="200"/>
    <s v="C85059"/>
    <x v="5"/>
    <n v="4"/>
    <n v="246.85"/>
    <s v="316 Main St"/>
    <x v="2"/>
    <x v="0"/>
    <s v="TRK56503740"/>
    <n v="8"/>
    <s v="WINTER15"/>
    <x v="4"/>
    <x v="777"/>
    <m/>
  </r>
  <r>
    <s v="ORD200779"/>
    <x v="142"/>
    <s v="C18076"/>
    <x v="1"/>
    <n v="3"/>
    <n v="588.74"/>
    <s v="751 Main St"/>
    <x v="0"/>
    <x v="4"/>
    <s v="TRK26661705"/>
    <n v="8"/>
    <s v="FREESHIP"/>
    <x v="2"/>
    <x v="778"/>
    <m/>
  </r>
  <r>
    <s v="ORD200780"/>
    <x v="74"/>
    <s v="C41284"/>
    <x v="5"/>
    <n v="4"/>
    <n v="184.48"/>
    <s v="661 Main St"/>
    <x v="1"/>
    <x v="1"/>
    <s v="TRK73613128"/>
    <n v="4"/>
    <s v="WINTER15"/>
    <x v="4"/>
    <x v="779"/>
    <m/>
  </r>
  <r>
    <s v="ORD200781"/>
    <x v="532"/>
    <s v="C43524"/>
    <x v="1"/>
    <n v="5"/>
    <n v="524.26"/>
    <s v="934 Main St"/>
    <x v="3"/>
    <x v="3"/>
    <s v="TRK51479426"/>
    <n v="5"/>
    <s v="FREESHIP"/>
    <x v="1"/>
    <x v="780"/>
    <m/>
  </r>
  <r>
    <s v="ORD200782"/>
    <x v="533"/>
    <s v="C58063"/>
    <x v="0"/>
    <n v="2"/>
    <n v="493.63"/>
    <s v="167 Main St"/>
    <x v="1"/>
    <x v="2"/>
    <s v="TRK50548869"/>
    <n v="6"/>
    <s v="SAVE10"/>
    <x v="1"/>
    <x v="781"/>
    <m/>
  </r>
  <r>
    <s v="ORD200783"/>
    <x v="534"/>
    <s v="C19937"/>
    <x v="4"/>
    <n v="1"/>
    <n v="438.34"/>
    <s v="281 Main St"/>
    <x v="3"/>
    <x v="2"/>
    <s v="TRK46990083"/>
    <n v="5"/>
    <s v="FREESHIP"/>
    <x v="3"/>
    <x v="782"/>
    <m/>
  </r>
  <r>
    <s v="ORD200784"/>
    <x v="535"/>
    <s v="C21191"/>
    <x v="5"/>
    <n v="1"/>
    <n v="325.81"/>
    <s v="232 Main St"/>
    <x v="2"/>
    <x v="4"/>
    <s v="TRK85771230"/>
    <n v="1"/>
    <s v="WINTER15"/>
    <x v="1"/>
    <x v="783"/>
    <m/>
  </r>
  <r>
    <s v="ORD200785"/>
    <x v="536"/>
    <s v="C45862"/>
    <x v="3"/>
    <n v="1"/>
    <n v="176.1"/>
    <s v="342 Main St"/>
    <x v="2"/>
    <x v="4"/>
    <s v="TRK53089983"/>
    <n v="1"/>
    <s v="SAVE10"/>
    <x v="0"/>
    <x v="784"/>
    <m/>
  </r>
  <r>
    <s v="ORD200786"/>
    <x v="421"/>
    <s v="C39130"/>
    <x v="3"/>
    <n v="5"/>
    <n v="45.31"/>
    <s v="774 Main St"/>
    <x v="1"/>
    <x v="1"/>
    <s v="TRK99583414"/>
    <n v="8"/>
    <s v="NO COUPON"/>
    <x v="1"/>
    <x v="785"/>
    <m/>
  </r>
  <r>
    <s v="ORD200787"/>
    <x v="537"/>
    <s v="C18167"/>
    <x v="6"/>
    <n v="4"/>
    <n v="221.96"/>
    <s v="193 Main St"/>
    <x v="4"/>
    <x v="3"/>
    <s v="TRK36841089"/>
    <n v="7"/>
    <s v="NO COUPON"/>
    <x v="4"/>
    <x v="786"/>
    <m/>
  </r>
  <r>
    <s v="ORD200788"/>
    <x v="208"/>
    <s v="C47307"/>
    <x v="3"/>
    <n v="2"/>
    <n v="601.42999999999995"/>
    <s v="761 Main St"/>
    <x v="1"/>
    <x v="4"/>
    <s v="TRK43516112"/>
    <n v="5"/>
    <s v="FREESHIP"/>
    <x v="0"/>
    <x v="787"/>
    <m/>
  </r>
  <r>
    <s v="ORD200789"/>
    <x v="538"/>
    <s v="C57276"/>
    <x v="2"/>
    <n v="5"/>
    <n v="691.28"/>
    <s v="183 Main St"/>
    <x v="1"/>
    <x v="3"/>
    <s v="TRK75899752"/>
    <n v="10"/>
    <s v="SAVE10"/>
    <x v="2"/>
    <x v="788"/>
    <m/>
  </r>
  <r>
    <s v="ORD200790"/>
    <x v="154"/>
    <s v="C38928"/>
    <x v="5"/>
    <n v="4"/>
    <n v="417.89"/>
    <s v="302 Main St"/>
    <x v="3"/>
    <x v="4"/>
    <s v="TRK96636009"/>
    <n v="4"/>
    <s v="NO COUPON"/>
    <x v="4"/>
    <x v="789"/>
    <m/>
  </r>
  <r>
    <s v="ORD200791"/>
    <x v="539"/>
    <s v="C49710"/>
    <x v="3"/>
    <n v="4"/>
    <n v="409.28"/>
    <s v="956 Main St"/>
    <x v="4"/>
    <x v="4"/>
    <s v="TRK92591237"/>
    <n v="8"/>
    <s v="NO COUPON"/>
    <x v="2"/>
    <x v="790"/>
    <m/>
  </r>
  <r>
    <s v="ORD200792"/>
    <x v="379"/>
    <s v="C41709"/>
    <x v="6"/>
    <n v="2"/>
    <n v="356.35"/>
    <s v="746 Main St"/>
    <x v="0"/>
    <x v="2"/>
    <s v="TRK90995294"/>
    <n v="6"/>
    <s v="WINTER15"/>
    <x v="3"/>
    <x v="791"/>
    <m/>
  </r>
  <r>
    <s v="ORD200793"/>
    <x v="116"/>
    <s v="C91255"/>
    <x v="3"/>
    <n v="5"/>
    <n v="170.22"/>
    <s v="769 Main St"/>
    <x v="0"/>
    <x v="3"/>
    <s v="TRK69599961"/>
    <n v="8"/>
    <s v="NO COUPON"/>
    <x v="1"/>
    <x v="792"/>
    <m/>
  </r>
  <r>
    <s v="ORD200794"/>
    <x v="338"/>
    <s v="C76653"/>
    <x v="4"/>
    <n v="4"/>
    <n v="384.85"/>
    <s v="988 Main St"/>
    <x v="1"/>
    <x v="3"/>
    <s v="TRK77052196"/>
    <n v="9"/>
    <s v="FREESHIP"/>
    <x v="0"/>
    <x v="793"/>
    <m/>
  </r>
  <r>
    <s v="ORD200795"/>
    <x v="540"/>
    <s v="C95667"/>
    <x v="5"/>
    <n v="4"/>
    <n v="115.77"/>
    <s v="586 Main St"/>
    <x v="1"/>
    <x v="4"/>
    <s v="TRK41266666"/>
    <n v="7"/>
    <s v="SAVE10"/>
    <x v="0"/>
    <x v="794"/>
    <m/>
  </r>
  <r>
    <s v="ORD200796"/>
    <x v="541"/>
    <s v="C33313"/>
    <x v="1"/>
    <n v="3"/>
    <n v="579.54999999999995"/>
    <s v="882 Main St"/>
    <x v="3"/>
    <x v="2"/>
    <s v="TRK13349970"/>
    <n v="8"/>
    <s v="WINTER15"/>
    <x v="3"/>
    <x v="795"/>
    <m/>
  </r>
  <r>
    <s v="ORD200797"/>
    <x v="146"/>
    <s v="C36825"/>
    <x v="5"/>
    <n v="2"/>
    <n v="438.76"/>
    <s v="426 Main St"/>
    <x v="0"/>
    <x v="2"/>
    <s v="TRK72557318"/>
    <n v="2"/>
    <s v="NO COUPON"/>
    <x v="3"/>
    <x v="796"/>
    <m/>
  </r>
  <r>
    <s v="ORD200798"/>
    <x v="542"/>
    <s v="C20861"/>
    <x v="1"/>
    <n v="5"/>
    <n v="488.35"/>
    <s v="968 Main St"/>
    <x v="0"/>
    <x v="2"/>
    <s v="TRK89372013"/>
    <n v="9"/>
    <s v="FREESHIP"/>
    <x v="2"/>
    <x v="797"/>
    <m/>
  </r>
  <r>
    <s v="ORD200799"/>
    <x v="397"/>
    <s v="C26364"/>
    <x v="5"/>
    <n v="4"/>
    <n v="328.56"/>
    <s v="803 Main St"/>
    <x v="0"/>
    <x v="2"/>
    <s v="TRK78924436"/>
    <n v="4"/>
    <s v="FREESHIP"/>
    <x v="2"/>
    <x v="798"/>
    <m/>
  </r>
  <r>
    <s v="ORD200800"/>
    <x v="210"/>
    <s v="C34686"/>
    <x v="2"/>
    <n v="1"/>
    <n v="68.39"/>
    <s v="412 Main St"/>
    <x v="1"/>
    <x v="2"/>
    <s v="TRK99468332"/>
    <n v="3"/>
    <s v="WINTER15"/>
    <x v="3"/>
    <x v="799"/>
    <m/>
  </r>
  <r>
    <s v="ORD200801"/>
    <x v="71"/>
    <s v="C97593"/>
    <x v="4"/>
    <n v="4"/>
    <n v="595.62"/>
    <s v="738 Main St"/>
    <x v="0"/>
    <x v="4"/>
    <s v="TRK58443593"/>
    <n v="8"/>
    <s v="FREESHIP"/>
    <x v="3"/>
    <x v="800"/>
    <m/>
  </r>
  <r>
    <s v="ORD200802"/>
    <x v="11"/>
    <s v="C84331"/>
    <x v="3"/>
    <n v="5"/>
    <n v="644.64"/>
    <s v="205 Main St"/>
    <x v="3"/>
    <x v="1"/>
    <s v="TRK34440714"/>
    <n v="6"/>
    <s v="FREESHIP"/>
    <x v="2"/>
    <x v="801"/>
    <m/>
  </r>
  <r>
    <s v="ORD200803"/>
    <x v="38"/>
    <s v="C88775"/>
    <x v="0"/>
    <n v="5"/>
    <n v="397.81"/>
    <s v="223 Main St"/>
    <x v="0"/>
    <x v="2"/>
    <s v="TRK45098068"/>
    <n v="5"/>
    <s v="SAVE10"/>
    <x v="1"/>
    <x v="802"/>
    <m/>
  </r>
  <r>
    <s v="ORD200804"/>
    <x v="543"/>
    <s v="C76362"/>
    <x v="3"/>
    <n v="3"/>
    <n v="236.5"/>
    <s v="916 Main St"/>
    <x v="1"/>
    <x v="3"/>
    <s v="TRK11868618"/>
    <n v="8"/>
    <s v="FREESHIP"/>
    <x v="2"/>
    <x v="803"/>
    <m/>
  </r>
  <r>
    <s v="ORD200805"/>
    <x v="12"/>
    <s v="C59278"/>
    <x v="5"/>
    <n v="5"/>
    <n v="472.01"/>
    <s v="178 Main St"/>
    <x v="3"/>
    <x v="1"/>
    <s v="TRK14590037"/>
    <n v="10"/>
    <s v="SAVE10"/>
    <x v="2"/>
    <x v="804"/>
    <m/>
  </r>
  <r>
    <s v="ORD200806"/>
    <x v="544"/>
    <s v="C55819"/>
    <x v="3"/>
    <n v="5"/>
    <n v="253.75"/>
    <s v="740 Main St"/>
    <x v="1"/>
    <x v="4"/>
    <s v="TRK13775054"/>
    <n v="9"/>
    <s v="WINTER15"/>
    <x v="0"/>
    <x v="805"/>
    <m/>
  </r>
  <r>
    <s v="ORD200807"/>
    <x v="337"/>
    <s v="C82344"/>
    <x v="0"/>
    <n v="3"/>
    <n v="676.21"/>
    <s v="260 Main St"/>
    <x v="1"/>
    <x v="3"/>
    <s v="TRK70957219"/>
    <n v="5"/>
    <s v="SAVE10"/>
    <x v="4"/>
    <x v="806"/>
    <m/>
  </r>
  <r>
    <s v="ORD200808"/>
    <x v="545"/>
    <s v="C65565"/>
    <x v="6"/>
    <n v="3"/>
    <n v="134.05000000000001"/>
    <s v="192 Main St"/>
    <x v="2"/>
    <x v="0"/>
    <s v="TRK80383756"/>
    <n v="3"/>
    <s v="NO COUPON"/>
    <x v="4"/>
    <x v="807"/>
    <m/>
  </r>
  <r>
    <s v="ORD200809"/>
    <x v="398"/>
    <s v="C80416"/>
    <x v="6"/>
    <n v="5"/>
    <n v="217.43"/>
    <s v="752 Main St"/>
    <x v="0"/>
    <x v="0"/>
    <s v="TRK54385892"/>
    <n v="10"/>
    <s v="SAVE10"/>
    <x v="0"/>
    <x v="808"/>
    <m/>
  </r>
  <r>
    <s v="ORD200810"/>
    <x v="546"/>
    <s v="C23637"/>
    <x v="2"/>
    <n v="1"/>
    <n v="553.55999999999995"/>
    <s v="644 Main St"/>
    <x v="2"/>
    <x v="1"/>
    <s v="TRK16749863"/>
    <n v="5"/>
    <s v="NO COUPON"/>
    <x v="1"/>
    <x v="809"/>
    <m/>
  </r>
  <r>
    <s v="ORD200811"/>
    <x v="212"/>
    <s v="C24769"/>
    <x v="5"/>
    <n v="2"/>
    <n v="28.55"/>
    <s v="864 Main St"/>
    <x v="3"/>
    <x v="0"/>
    <s v="TRK44538305"/>
    <n v="7"/>
    <s v="SAVE10"/>
    <x v="2"/>
    <x v="810"/>
    <m/>
  </r>
  <r>
    <s v="ORD200812"/>
    <x v="547"/>
    <s v="C81547"/>
    <x v="1"/>
    <n v="2"/>
    <n v="255.26"/>
    <s v="803 Main St"/>
    <x v="2"/>
    <x v="1"/>
    <s v="TRK88437123"/>
    <n v="6"/>
    <s v="FREESHIP"/>
    <x v="4"/>
    <x v="811"/>
    <m/>
  </r>
  <r>
    <s v="ORD200813"/>
    <x v="175"/>
    <s v="C12813"/>
    <x v="5"/>
    <n v="5"/>
    <n v="292.54000000000002"/>
    <s v="263 Main St"/>
    <x v="0"/>
    <x v="1"/>
    <s v="TRK36131660"/>
    <n v="8"/>
    <s v="FREESHIP"/>
    <x v="2"/>
    <x v="812"/>
    <m/>
  </r>
  <r>
    <s v="ORD200814"/>
    <x v="218"/>
    <s v="C50732"/>
    <x v="3"/>
    <n v="4"/>
    <n v="147.51"/>
    <s v="979 Main St"/>
    <x v="0"/>
    <x v="4"/>
    <s v="TRK21082461"/>
    <n v="4"/>
    <s v="WINTER15"/>
    <x v="0"/>
    <x v="813"/>
    <m/>
  </r>
  <r>
    <s v="ORD200815"/>
    <x v="548"/>
    <s v="C41320"/>
    <x v="4"/>
    <n v="3"/>
    <n v="569.84"/>
    <s v="920 Main St"/>
    <x v="3"/>
    <x v="1"/>
    <s v="TRK77539180"/>
    <n v="8"/>
    <s v="WINTER15"/>
    <x v="0"/>
    <x v="814"/>
    <m/>
  </r>
  <r>
    <s v="ORD200816"/>
    <x v="444"/>
    <s v="C55286"/>
    <x v="2"/>
    <n v="5"/>
    <n v="574.79"/>
    <s v="497 Main St"/>
    <x v="2"/>
    <x v="4"/>
    <s v="TRK39058734"/>
    <n v="8"/>
    <s v="WINTER15"/>
    <x v="1"/>
    <x v="815"/>
    <m/>
  </r>
  <r>
    <s v="ORD200817"/>
    <x v="469"/>
    <s v="C87994"/>
    <x v="3"/>
    <n v="4"/>
    <n v="598.19000000000005"/>
    <s v="430 Main St"/>
    <x v="2"/>
    <x v="3"/>
    <s v="TRK98883971"/>
    <n v="7"/>
    <s v="WINTER15"/>
    <x v="2"/>
    <x v="816"/>
    <m/>
  </r>
  <r>
    <s v="ORD200818"/>
    <x v="521"/>
    <s v="C25580"/>
    <x v="1"/>
    <n v="4"/>
    <n v="390.84"/>
    <s v="860 Main St"/>
    <x v="2"/>
    <x v="1"/>
    <s v="TRK58781638"/>
    <n v="9"/>
    <s v="WINTER15"/>
    <x v="1"/>
    <x v="817"/>
    <m/>
  </r>
  <r>
    <s v="ORD200819"/>
    <x v="335"/>
    <s v="C66196"/>
    <x v="1"/>
    <n v="2"/>
    <n v="398.45"/>
    <s v="650 Main St"/>
    <x v="0"/>
    <x v="1"/>
    <s v="TRK38104650"/>
    <n v="7"/>
    <s v="SAVE10"/>
    <x v="4"/>
    <x v="818"/>
    <m/>
  </r>
  <r>
    <s v="ORD200820"/>
    <x v="156"/>
    <s v="C35377"/>
    <x v="1"/>
    <n v="5"/>
    <n v="623.80999999999995"/>
    <s v="171 Main St"/>
    <x v="4"/>
    <x v="2"/>
    <s v="TRK17342157"/>
    <n v="6"/>
    <s v="FREESHIP"/>
    <x v="2"/>
    <x v="819"/>
    <m/>
  </r>
  <r>
    <s v="ORD200821"/>
    <x v="549"/>
    <s v="C40771"/>
    <x v="5"/>
    <n v="4"/>
    <n v="174.49"/>
    <s v="259 Main St"/>
    <x v="2"/>
    <x v="3"/>
    <s v="TRK56310345"/>
    <n v="5"/>
    <s v="SAVE10"/>
    <x v="3"/>
    <x v="820"/>
    <m/>
  </r>
  <r>
    <s v="ORD200822"/>
    <x v="175"/>
    <s v="C20624"/>
    <x v="1"/>
    <n v="1"/>
    <n v="479.56"/>
    <s v="923 Main St"/>
    <x v="3"/>
    <x v="2"/>
    <s v="TRK45123395"/>
    <n v="1"/>
    <s v="SAVE10"/>
    <x v="4"/>
    <x v="821"/>
    <m/>
  </r>
  <r>
    <s v="ORD200823"/>
    <x v="550"/>
    <s v="C27070"/>
    <x v="5"/>
    <n v="4"/>
    <n v="653.13"/>
    <s v="973 Main St"/>
    <x v="2"/>
    <x v="0"/>
    <s v="TRK83842481"/>
    <n v="8"/>
    <s v="WINTER15"/>
    <x v="0"/>
    <x v="822"/>
    <m/>
  </r>
  <r>
    <s v="ORD200824"/>
    <x v="193"/>
    <s v="C18826"/>
    <x v="0"/>
    <n v="3"/>
    <n v="481.1"/>
    <s v="664 Main St"/>
    <x v="2"/>
    <x v="2"/>
    <s v="TRK12530495"/>
    <n v="3"/>
    <s v="FREESHIP"/>
    <x v="3"/>
    <x v="823"/>
    <m/>
  </r>
  <r>
    <s v="ORD200825"/>
    <x v="18"/>
    <s v="C23899"/>
    <x v="6"/>
    <n v="5"/>
    <n v="271.69"/>
    <s v="543 Main St"/>
    <x v="1"/>
    <x v="2"/>
    <s v="TRK88914760"/>
    <n v="7"/>
    <s v="FREESHIP"/>
    <x v="0"/>
    <x v="824"/>
    <m/>
  </r>
  <r>
    <s v="ORD200826"/>
    <x v="177"/>
    <s v="C43249"/>
    <x v="4"/>
    <n v="3"/>
    <n v="463.81"/>
    <s v="283 Main St"/>
    <x v="1"/>
    <x v="2"/>
    <s v="TRK32469820"/>
    <n v="8"/>
    <s v="WINTER15"/>
    <x v="2"/>
    <x v="825"/>
    <m/>
  </r>
  <r>
    <s v="ORD200827"/>
    <x v="551"/>
    <s v="C95856"/>
    <x v="2"/>
    <n v="2"/>
    <n v="639.88"/>
    <s v="432 Main St"/>
    <x v="4"/>
    <x v="3"/>
    <s v="TRK58829625"/>
    <n v="5"/>
    <s v="WINTER15"/>
    <x v="0"/>
    <x v="826"/>
    <m/>
  </r>
  <r>
    <s v="ORD200828"/>
    <x v="25"/>
    <s v="C86266"/>
    <x v="3"/>
    <n v="4"/>
    <n v="404.58"/>
    <s v="510 Main St"/>
    <x v="4"/>
    <x v="0"/>
    <s v="TRK64576020"/>
    <n v="5"/>
    <s v="FREESHIP"/>
    <x v="0"/>
    <x v="827"/>
    <m/>
  </r>
  <r>
    <s v="ORD200829"/>
    <x v="483"/>
    <s v="C39551"/>
    <x v="0"/>
    <n v="1"/>
    <n v="76.930000000000007"/>
    <s v="685 Main St"/>
    <x v="0"/>
    <x v="3"/>
    <s v="TRK68358007"/>
    <n v="6"/>
    <s v="WINTER15"/>
    <x v="0"/>
    <x v="828"/>
    <m/>
  </r>
  <r>
    <s v="ORD200830"/>
    <x v="218"/>
    <s v="C90310"/>
    <x v="2"/>
    <n v="4"/>
    <n v="190.64"/>
    <s v="853 Main St"/>
    <x v="4"/>
    <x v="3"/>
    <s v="TRK70028457"/>
    <n v="5"/>
    <s v="SAVE10"/>
    <x v="2"/>
    <x v="829"/>
    <m/>
  </r>
  <r>
    <s v="ORD200831"/>
    <x v="552"/>
    <s v="C20124"/>
    <x v="4"/>
    <n v="2"/>
    <n v="88.73"/>
    <s v="140 Main St"/>
    <x v="1"/>
    <x v="4"/>
    <s v="TRK61346824"/>
    <n v="5"/>
    <s v="NO COUPON"/>
    <x v="4"/>
    <x v="830"/>
    <m/>
  </r>
  <r>
    <s v="ORD200832"/>
    <x v="553"/>
    <s v="C63372"/>
    <x v="3"/>
    <n v="5"/>
    <n v="485.71"/>
    <s v="903 Main St"/>
    <x v="1"/>
    <x v="4"/>
    <s v="TRK14661811"/>
    <n v="10"/>
    <s v="SAVE10"/>
    <x v="1"/>
    <x v="831"/>
    <m/>
  </r>
  <r>
    <s v="ORD200833"/>
    <x v="387"/>
    <s v="C90595"/>
    <x v="1"/>
    <n v="5"/>
    <n v="78.290000000000006"/>
    <s v="508 Main St"/>
    <x v="2"/>
    <x v="0"/>
    <s v="TRK96573803"/>
    <n v="5"/>
    <s v="WINTER15"/>
    <x v="1"/>
    <x v="832"/>
    <m/>
  </r>
  <r>
    <s v="ORD200834"/>
    <x v="166"/>
    <s v="C98483"/>
    <x v="4"/>
    <n v="5"/>
    <n v="22.14"/>
    <s v="456 Main St"/>
    <x v="4"/>
    <x v="2"/>
    <s v="TRK22084320"/>
    <n v="10"/>
    <s v="NO COUPON"/>
    <x v="0"/>
    <x v="833"/>
    <m/>
  </r>
  <r>
    <s v="ORD200835"/>
    <x v="290"/>
    <s v="C16429"/>
    <x v="6"/>
    <n v="1"/>
    <n v="679.65"/>
    <s v="390 Main St"/>
    <x v="0"/>
    <x v="0"/>
    <s v="TRK73888013"/>
    <n v="6"/>
    <s v="FREESHIP"/>
    <x v="4"/>
    <x v="834"/>
    <m/>
  </r>
  <r>
    <s v="ORD200836"/>
    <x v="488"/>
    <s v="C31810"/>
    <x v="1"/>
    <n v="1"/>
    <n v="178.44"/>
    <s v="328 Main St"/>
    <x v="2"/>
    <x v="1"/>
    <s v="TRK58725886"/>
    <n v="2"/>
    <s v="FREESHIP"/>
    <x v="4"/>
    <x v="835"/>
    <m/>
  </r>
  <r>
    <s v="ORD200837"/>
    <x v="554"/>
    <s v="C88029"/>
    <x v="3"/>
    <n v="5"/>
    <n v="655.55"/>
    <s v="282 Main St"/>
    <x v="1"/>
    <x v="3"/>
    <s v="TRK59701278"/>
    <n v="5"/>
    <s v="NO COUPON"/>
    <x v="2"/>
    <x v="836"/>
    <m/>
  </r>
  <r>
    <s v="ORD200838"/>
    <x v="166"/>
    <s v="C57798"/>
    <x v="6"/>
    <n v="4"/>
    <n v="577.08000000000004"/>
    <s v="384 Main St"/>
    <x v="1"/>
    <x v="4"/>
    <s v="TRK68797566"/>
    <n v="8"/>
    <s v="NO COUPON"/>
    <x v="3"/>
    <x v="837"/>
    <m/>
  </r>
  <r>
    <s v="ORD200839"/>
    <x v="318"/>
    <s v="C82858"/>
    <x v="3"/>
    <n v="3"/>
    <n v="197.97"/>
    <s v="551 Main St"/>
    <x v="1"/>
    <x v="1"/>
    <s v="TRK90618490"/>
    <n v="5"/>
    <s v="NO COUPON"/>
    <x v="4"/>
    <x v="838"/>
    <m/>
  </r>
  <r>
    <s v="ORD200840"/>
    <x v="555"/>
    <s v="C60699"/>
    <x v="3"/>
    <n v="3"/>
    <n v="411.95"/>
    <s v="672 Main St"/>
    <x v="2"/>
    <x v="3"/>
    <s v="TRK88660574"/>
    <n v="7"/>
    <s v="FREESHIP"/>
    <x v="1"/>
    <x v="839"/>
    <m/>
  </r>
  <r>
    <s v="ORD200841"/>
    <x v="556"/>
    <s v="C94658"/>
    <x v="4"/>
    <n v="2"/>
    <n v="443.22"/>
    <s v="742 Main St"/>
    <x v="2"/>
    <x v="3"/>
    <s v="TRK51732528"/>
    <n v="5"/>
    <s v="NO COUPON"/>
    <x v="3"/>
    <x v="840"/>
    <m/>
  </r>
  <r>
    <s v="ORD200842"/>
    <x v="106"/>
    <s v="C78305"/>
    <x v="5"/>
    <n v="3"/>
    <n v="364.14"/>
    <s v="396 Main St"/>
    <x v="1"/>
    <x v="4"/>
    <s v="TRK88312618"/>
    <n v="7"/>
    <s v="WINTER15"/>
    <x v="1"/>
    <x v="841"/>
    <m/>
  </r>
  <r>
    <s v="ORD200843"/>
    <x v="557"/>
    <s v="C43538"/>
    <x v="6"/>
    <n v="3"/>
    <n v="430.06"/>
    <s v="534 Main St"/>
    <x v="3"/>
    <x v="1"/>
    <s v="TRK20961563"/>
    <n v="8"/>
    <s v="FREESHIP"/>
    <x v="0"/>
    <x v="842"/>
    <m/>
  </r>
  <r>
    <s v="ORD200844"/>
    <x v="558"/>
    <s v="C47486"/>
    <x v="3"/>
    <n v="1"/>
    <n v="320.92"/>
    <s v="883 Main St"/>
    <x v="1"/>
    <x v="2"/>
    <s v="TRK75984759"/>
    <n v="5"/>
    <s v="FREESHIP"/>
    <x v="3"/>
    <x v="843"/>
    <m/>
  </r>
  <r>
    <s v="ORD200845"/>
    <x v="345"/>
    <s v="C24212"/>
    <x v="1"/>
    <n v="3"/>
    <n v="107.36"/>
    <s v="808 Main St"/>
    <x v="3"/>
    <x v="3"/>
    <s v="TRK68894675"/>
    <n v="5"/>
    <s v="FREESHIP"/>
    <x v="4"/>
    <x v="844"/>
    <m/>
  </r>
  <r>
    <s v="ORD200846"/>
    <x v="502"/>
    <s v="C24765"/>
    <x v="6"/>
    <n v="2"/>
    <n v="359.86"/>
    <s v="646 Main St"/>
    <x v="0"/>
    <x v="1"/>
    <s v="TRK43977698"/>
    <n v="4"/>
    <s v="NO COUPON"/>
    <x v="1"/>
    <x v="845"/>
    <m/>
  </r>
  <r>
    <s v="ORD200847"/>
    <x v="249"/>
    <s v="C48176"/>
    <x v="4"/>
    <n v="4"/>
    <n v="434.23"/>
    <s v="670 Main St"/>
    <x v="1"/>
    <x v="0"/>
    <s v="TRK90560300"/>
    <n v="8"/>
    <s v="FREESHIP"/>
    <x v="2"/>
    <x v="846"/>
    <m/>
  </r>
  <r>
    <s v="ORD200848"/>
    <x v="107"/>
    <s v="C54675"/>
    <x v="3"/>
    <n v="2"/>
    <n v="645.85"/>
    <s v="634 Main St"/>
    <x v="1"/>
    <x v="0"/>
    <s v="TRK18049633"/>
    <n v="5"/>
    <s v="NO COUPON"/>
    <x v="1"/>
    <x v="847"/>
    <m/>
  </r>
  <r>
    <s v="ORD200849"/>
    <x v="559"/>
    <s v="C16675"/>
    <x v="4"/>
    <n v="4"/>
    <n v="214.35"/>
    <s v="664 Main St"/>
    <x v="0"/>
    <x v="1"/>
    <s v="TRK12756945"/>
    <n v="7"/>
    <s v="WINTER15"/>
    <x v="1"/>
    <x v="848"/>
    <m/>
  </r>
  <r>
    <s v="ORD200850"/>
    <x v="560"/>
    <s v="C38557"/>
    <x v="0"/>
    <n v="3"/>
    <n v="638.5"/>
    <s v="890 Main St"/>
    <x v="0"/>
    <x v="1"/>
    <s v="TRK14832238"/>
    <n v="4"/>
    <s v="FREESHIP"/>
    <x v="0"/>
    <x v="849"/>
    <m/>
  </r>
  <r>
    <s v="ORD200851"/>
    <x v="427"/>
    <s v="C80183"/>
    <x v="5"/>
    <n v="1"/>
    <n v="365.57"/>
    <s v="146 Main St"/>
    <x v="1"/>
    <x v="1"/>
    <s v="TRK20814598"/>
    <n v="5"/>
    <s v="SAVE10"/>
    <x v="2"/>
    <x v="850"/>
    <m/>
  </r>
  <r>
    <s v="ORD200852"/>
    <x v="101"/>
    <s v="C39530"/>
    <x v="6"/>
    <n v="3"/>
    <n v="568.04999999999995"/>
    <s v="618 Main St"/>
    <x v="3"/>
    <x v="4"/>
    <s v="TRK69000497"/>
    <n v="6"/>
    <s v="SAVE10"/>
    <x v="4"/>
    <x v="851"/>
    <m/>
  </r>
  <r>
    <s v="ORD200853"/>
    <x v="504"/>
    <s v="C10002"/>
    <x v="4"/>
    <n v="3"/>
    <n v="490.01"/>
    <s v="894 Main St"/>
    <x v="4"/>
    <x v="2"/>
    <s v="TRK94641152"/>
    <n v="4"/>
    <s v="SAVE10"/>
    <x v="3"/>
    <x v="852"/>
    <m/>
  </r>
  <r>
    <s v="ORD200854"/>
    <x v="399"/>
    <s v="C56938"/>
    <x v="5"/>
    <n v="3"/>
    <n v="372.6"/>
    <s v="356 Main St"/>
    <x v="2"/>
    <x v="3"/>
    <s v="TRK67735987"/>
    <n v="7"/>
    <s v="WINTER15"/>
    <x v="1"/>
    <x v="853"/>
    <m/>
  </r>
  <r>
    <s v="ORD200855"/>
    <x v="551"/>
    <s v="C41331"/>
    <x v="0"/>
    <n v="5"/>
    <n v="240.61"/>
    <s v="785 Main St"/>
    <x v="2"/>
    <x v="0"/>
    <s v="TRK94198179"/>
    <n v="10"/>
    <s v="FREESHIP"/>
    <x v="2"/>
    <x v="854"/>
    <m/>
  </r>
  <r>
    <s v="ORD200856"/>
    <x v="561"/>
    <s v="C94698"/>
    <x v="1"/>
    <n v="1"/>
    <n v="586.62"/>
    <s v="871 Main St"/>
    <x v="0"/>
    <x v="0"/>
    <s v="TRK95768773"/>
    <n v="5"/>
    <s v="NO COUPON"/>
    <x v="3"/>
    <x v="855"/>
    <m/>
  </r>
  <r>
    <s v="ORD200857"/>
    <x v="416"/>
    <s v="C56506"/>
    <x v="1"/>
    <n v="3"/>
    <n v="257.83999999999997"/>
    <s v="185 Main St"/>
    <x v="1"/>
    <x v="3"/>
    <s v="TRK86808324"/>
    <n v="4"/>
    <s v="NO COUPON"/>
    <x v="0"/>
    <x v="856"/>
    <m/>
  </r>
  <r>
    <s v="ORD200858"/>
    <x v="38"/>
    <s v="C22167"/>
    <x v="2"/>
    <n v="5"/>
    <n v="435.66"/>
    <s v="891 Main St"/>
    <x v="1"/>
    <x v="4"/>
    <s v="TRK70269748"/>
    <n v="9"/>
    <s v="NO COUPON"/>
    <x v="3"/>
    <x v="857"/>
    <m/>
  </r>
  <r>
    <s v="ORD200859"/>
    <x v="562"/>
    <s v="C11127"/>
    <x v="3"/>
    <n v="5"/>
    <n v="261.33"/>
    <s v="154 Main St"/>
    <x v="2"/>
    <x v="2"/>
    <s v="TRK73285507"/>
    <n v="5"/>
    <s v="SAVE10"/>
    <x v="1"/>
    <x v="858"/>
    <m/>
  </r>
  <r>
    <s v="ORD200860"/>
    <x v="514"/>
    <s v="C69542"/>
    <x v="4"/>
    <n v="1"/>
    <n v="422.54"/>
    <s v="876 Main St"/>
    <x v="4"/>
    <x v="3"/>
    <s v="TRK20746505"/>
    <n v="1"/>
    <s v="SAVE10"/>
    <x v="4"/>
    <x v="859"/>
    <m/>
  </r>
  <r>
    <s v="ORD200861"/>
    <x v="111"/>
    <s v="C93276"/>
    <x v="6"/>
    <n v="5"/>
    <n v="330.45"/>
    <s v="230 Main St"/>
    <x v="3"/>
    <x v="0"/>
    <s v="TRK44165913"/>
    <n v="10"/>
    <s v="FREESHIP"/>
    <x v="4"/>
    <x v="860"/>
    <m/>
  </r>
  <r>
    <s v="ORD200862"/>
    <x v="278"/>
    <s v="C37969"/>
    <x v="6"/>
    <n v="3"/>
    <n v="120.82"/>
    <s v="799 Main St"/>
    <x v="2"/>
    <x v="0"/>
    <s v="TRK69852386"/>
    <n v="5"/>
    <s v="SAVE10"/>
    <x v="1"/>
    <x v="861"/>
    <m/>
  </r>
  <r>
    <s v="ORD200863"/>
    <x v="199"/>
    <s v="C98276"/>
    <x v="1"/>
    <n v="1"/>
    <n v="14.06"/>
    <s v="471 Main St"/>
    <x v="2"/>
    <x v="4"/>
    <s v="TRK74207282"/>
    <n v="5"/>
    <s v="SAVE10"/>
    <x v="1"/>
    <x v="862"/>
    <m/>
  </r>
  <r>
    <s v="ORD200864"/>
    <x v="71"/>
    <s v="C14240"/>
    <x v="6"/>
    <n v="1"/>
    <n v="491.11"/>
    <s v="592 Main St"/>
    <x v="2"/>
    <x v="3"/>
    <s v="TRK58095246"/>
    <n v="4"/>
    <s v="SAVE10"/>
    <x v="3"/>
    <x v="863"/>
    <m/>
  </r>
  <r>
    <s v="ORD200865"/>
    <x v="563"/>
    <s v="C72241"/>
    <x v="0"/>
    <n v="4"/>
    <n v="677.37"/>
    <s v="156 Main St"/>
    <x v="4"/>
    <x v="4"/>
    <s v="TRK76270481"/>
    <n v="8"/>
    <s v="SAVE10"/>
    <x v="4"/>
    <x v="864"/>
    <m/>
  </r>
  <r>
    <s v="ORD200866"/>
    <x v="503"/>
    <s v="C39664"/>
    <x v="6"/>
    <n v="5"/>
    <n v="189.25"/>
    <s v="693 Main St"/>
    <x v="0"/>
    <x v="1"/>
    <s v="TRK39917741"/>
    <n v="10"/>
    <s v="WINTER15"/>
    <x v="2"/>
    <x v="865"/>
    <m/>
  </r>
  <r>
    <s v="ORD200867"/>
    <x v="564"/>
    <s v="C53252"/>
    <x v="4"/>
    <n v="4"/>
    <n v="142.58000000000001"/>
    <s v="351 Main St"/>
    <x v="4"/>
    <x v="3"/>
    <s v="TRK65831261"/>
    <n v="4"/>
    <s v="FREESHIP"/>
    <x v="3"/>
    <x v="866"/>
    <m/>
  </r>
  <r>
    <s v="ORD200868"/>
    <x v="310"/>
    <s v="C70452"/>
    <x v="0"/>
    <n v="4"/>
    <n v="316.32"/>
    <s v="309 Main St"/>
    <x v="0"/>
    <x v="3"/>
    <s v="TRK42985882"/>
    <n v="7"/>
    <s v="NO COUPON"/>
    <x v="3"/>
    <x v="867"/>
    <m/>
  </r>
  <r>
    <s v="ORD200869"/>
    <x v="537"/>
    <s v="C29905"/>
    <x v="6"/>
    <n v="2"/>
    <n v="533.95000000000005"/>
    <s v="790 Main St"/>
    <x v="1"/>
    <x v="3"/>
    <s v="TRK16788127"/>
    <n v="5"/>
    <s v="WINTER15"/>
    <x v="4"/>
    <x v="868"/>
    <m/>
  </r>
  <r>
    <s v="ORD200870"/>
    <x v="565"/>
    <s v="C78725"/>
    <x v="1"/>
    <n v="4"/>
    <n v="470.09"/>
    <s v="541 Main St"/>
    <x v="0"/>
    <x v="3"/>
    <s v="TRK72001139"/>
    <n v="4"/>
    <s v="FREESHIP"/>
    <x v="4"/>
    <x v="869"/>
    <m/>
  </r>
  <r>
    <s v="ORD200871"/>
    <x v="149"/>
    <s v="C93768"/>
    <x v="2"/>
    <n v="3"/>
    <n v="324.3"/>
    <s v="720 Main St"/>
    <x v="0"/>
    <x v="4"/>
    <s v="TRK22024707"/>
    <n v="8"/>
    <s v="FREESHIP"/>
    <x v="2"/>
    <x v="870"/>
    <m/>
  </r>
  <r>
    <s v="ORD200872"/>
    <x v="566"/>
    <s v="C59169"/>
    <x v="3"/>
    <n v="4"/>
    <n v="629.34"/>
    <s v="172 Main St"/>
    <x v="4"/>
    <x v="0"/>
    <s v="TRK90883858"/>
    <n v="7"/>
    <s v="NO COUPON"/>
    <x v="2"/>
    <x v="120"/>
    <m/>
  </r>
  <r>
    <s v="ORD200873"/>
    <x v="258"/>
    <s v="C53488"/>
    <x v="6"/>
    <n v="3"/>
    <n v="136.84"/>
    <s v="448 Main St"/>
    <x v="4"/>
    <x v="3"/>
    <s v="TRK27365050"/>
    <n v="3"/>
    <s v="SAVE10"/>
    <x v="3"/>
    <x v="502"/>
    <m/>
  </r>
  <r>
    <s v="ORD200874"/>
    <x v="150"/>
    <s v="C92180"/>
    <x v="3"/>
    <n v="2"/>
    <n v="488.9"/>
    <s v="632 Main St"/>
    <x v="4"/>
    <x v="3"/>
    <s v="TRK93315929"/>
    <n v="7"/>
    <s v="FREESHIP"/>
    <x v="3"/>
    <x v="871"/>
    <m/>
  </r>
  <r>
    <s v="ORD200875"/>
    <x v="567"/>
    <s v="C25918"/>
    <x v="5"/>
    <n v="5"/>
    <n v="133.38999999999999"/>
    <s v="203 Main St"/>
    <x v="2"/>
    <x v="3"/>
    <s v="TRK66473392"/>
    <n v="6"/>
    <s v="FREESHIP"/>
    <x v="1"/>
    <x v="872"/>
    <m/>
  </r>
  <r>
    <s v="ORD200876"/>
    <x v="410"/>
    <s v="C90363"/>
    <x v="3"/>
    <n v="5"/>
    <n v="608.91"/>
    <s v="200 Main St"/>
    <x v="3"/>
    <x v="4"/>
    <s v="TRK21534173"/>
    <n v="6"/>
    <s v="SAVE10"/>
    <x v="4"/>
    <x v="873"/>
    <m/>
  </r>
  <r>
    <s v="ORD200877"/>
    <x v="568"/>
    <s v="C43867"/>
    <x v="2"/>
    <n v="1"/>
    <n v="524.05999999999995"/>
    <s v="269 Main St"/>
    <x v="0"/>
    <x v="4"/>
    <s v="TRK97319127"/>
    <n v="3"/>
    <s v="FREESHIP"/>
    <x v="2"/>
    <x v="874"/>
    <m/>
  </r>
  <r>
    <s v="ORD200878"/>
    <x v="569"/>
    <s v="C73873"/>
    <x v="6"/>
    <n v="2"/>
    <n v="330.69"/>
    <s v="393 Main St"/>
    <x v="1"/>
    <x v="1"/>
    <s v="TRK56423132"/>
    <n v="5"/>
    <s v="SAVE10"/>
    <x v="4"/>
    <x v="875"/>
    <m/>
  </r>
  <r>
    <s v="ORD200879"/>
    <x v="428"/>
    <s v="C56622"/>
    <x v="1"/>
    <n v="2"/>
    <n v="547.66999999999996"/>
    <s v="932 Main St"/>
    <x v="3"/>
    <x v="0"/>
    <s v="TRK86373987"/>
    <n v="3"/>
    <s v="NO COUPON"/>
    <x v="0"/>
    <x v="876"/>
    <m/>
  </r>
  <r>
    <s v="ORD200880"/>
    <x v="495"/>
    <s v="C85074"/>
    <x v="5"/>
    <n v="4"/>
    <n v="233.7"/>
    <s v="506 Main St"/>
    <x v="1"/>
    <x v="0"/>
    <s v="TRK63133878"/>
    <n v="8"/>
    <s v="SAVE10"/>
    <x v="3"/>
    <x v="877"/>
    <m/>
  </r>
  <r>
    <s v="ORD200881"/>
    <x v="570"/>
    <s v="C59579"/>
    <x v="2"/>
    <n v="2"/>
    <n v="448.85"/>
    <s v="386 Main St"/>
    <x v="2"/>
    <x v="4"/>
    <s v="TRK48000034"/>
    <n v="6"/>
    <s v="NO COUPON"/>
    <x v="0"/>
    <x v="878"/>
    <m/>
  </r>
  <r>
    <s v="ORD200882"/>
    <x v="164"/>
    <s v="C43335"/>
    <x v="1"/>
    <n v="2"/>
    <n v="274.12"/>
    <s v="533 Main St"/>
    <x v="4"/>
    <x v="3"/>
    <s v="TRK91848650"/>
    <n v="6"/>
    <s v="FREESHIP"/>
    <x v="1"/>
    <x v="879"/>
    <m/>
  </r>
  <r>
    <s v="ORD200883"/>
    <x v="557"/>
    <s v="C43595"/>
    <x v="4"/>
    <n v="5"/>
    <n v="561.48"/>
    <s v="451 Main St"/>
    <x v="1"/>
    <x v="3"/>
    <s v="TRK25317348"/>
    <n v="9"/>
    <s v="FREESHIP"/>
    <x v="3"/>
    <x v="880"/>
    <m/>
  </r>
  <r>
    <s v="ORD200884"/>
    <x v="571"/>
    <s v="C71471"/>
    <x v="3"/>
    <n v="1"/>
    <n v="595.54"/>
    <s v="817 Main St"/>
    <x v="3"/>
    <x v="0"/>
    <s v="TRK52137079"/>
    <n v="4"/>
    <s v="NO COUPON"/>
    <x v="0"/>
    <x v="881"/>
    <m/>
  </r>
  <r>
    <s v="ORD200885"/>
    <x v="158"/>
    <s v="C61090"/>
    <x v="5"/>
    <n v="4"/>
    <n v="515.59"/>
    <s v="387 Main St"/>
    <x v="2"/>
    <x v="0"/>
    <s v="TRK36388962"/>
    <n v="7"/>
    <s v="FREESHIP"/>
    <x v="4"/>
    <x v="882"/>
    <m/>
  </r>
  <r>
    <s v="ORD200886"/>
    <x v="385"/>
    <s v="C29620"/>
    <x v="1"/>
    <n v="1"/>
    <n v="460.13"/>
    <s v="792 Main St"/>
    <x v="2"/>
    <x v="2"/>
    <s v="TRK22046456"/>
    <n v="1"/>
    <s v="NO COUPON"/>
    <x v="4"/>
    <x v="883"/>
    <m/>
  </r>
  <r>
    <s v="ORD200887"/>
    <x v="36"/>
    <s v="C67932"/>
    <x v="3"/>
    <n v="3"/>
    <n v="171.66"/>
    <s v="857 Main St"/>
    <x v="0"/>
    <x v="3"/>
    <s v="TRK88547534"/>
    <n v="7"/>
    <s v="NO COUPON"/>
    <x v="4"/>
    <x v="884"/>
    <m/>
  </r>
  <r>
    <s v="ORD200888"/>
    <x v="572"/>
    <s v="C14427"/>
    <x v="5"/>
    <n v="2"/>
    <n v="266.95"/>
    <s v="833 Main St"/>
    <x v="2"/>
    <x v="4"/>
    <s v="TRK58024529"/>
    <n v="3"/>
    <s v="NO COUPON"/>
    <x v="0"/>
    <x v="885"/>
    <m/>
  </r>
  <r>
    <s v="ORD200889"/>
    <x v="245"/>
    <s v="C36725"/>
    <x v="0"/>
    <n v="5"/>
    <n v="650.72"/>
    <s v="350 Main St"/>
    <x v="2"/>
    <x v="1"/>
    <s v="TRK16808790"/>
    <n v="8"/>
    <s v="WINTER15"/>
    <x v="2"/>
    <x v="886"/>
    <m/>
  </r>
  <r>
    <s v="ORD200890"/>
    <x v="178"/>
    <s v="C51921"/>
    <x v="5"/>
    <n v="3"/>
    <n v="439.53"/>
    <s v="943 Main St"/>
    <x v="0"/>
    <x v="4"/>
    <s v="TRK85741716"/>
    <n v="5"/>
    <s v="NO COUPON"/>
    <x v="4"/>
    <x v="887"/>
    <m/>
  </r>
  <r>
    <s v="ORD200891"/>
    <x v="433"/>
    <s v="C36534"/>
    <x v="0"/>
    <n v="3"/>
    <n v="654.54"/>
    <s v="918 Main St"/>
    <x v="4"/>
    <x v="2"/>
    <s v="TRK38952138"/>
    <n v="7"/>
    <s v="SAVE10"/>
    <x v="1"/>
    <x v="888"/>
    <m/>
  </r>
  <r>
    <s v="ORD200892"/>
    <x v="573"/>
    <s v="C72043"/>
    <x v="6"/>
    <n v="1"/>
    <n v="394.53"/>
    <s v="480 Main St"/>
    <x v="4"/>
    <x v="0"/>
    <s v="TRK40896408"/>
    <n v="2"/>
    <s v="FREESHIP"/>
    <x v="1"/>
    <x v="889"/>
    <m/>
  </r>
  <r>
    <s v="ORD200893"/>
    <x v="574"/>
    <s v="C99533"/>
    <x v="0"/>
    <n v="1"/>
    <n v="678.01"/>
    <s v="696 Main St"/>
    <x v="4"/>
    <x v="4"/>
    <s v="TRK55701253"/>
    <n v="4"/>
    <s v="FREESHIP"/>
    <x v="1"/>
    <x v="890"/>
    <m/>
  </r>
  <r>
    <s v="ORD200894"/>
    <x v="575"/>
    <s v="C90852"/>
    <x v="2"/>
    <n v="3"/>
    <n v="575.01"/>
    <s v="852 Main St"/>
    <x v="1"/>
    <x v="1"/>
    <s v="TRK37551831"/>
    <n v="8"/>
    <s v="WINTER15"/>
    <x v="0"/>
    <x v="891"/>
    <m/>
  </r>
  <r>
    <s v="ORD200895"/>
    <x v="576"/>
    <s v="C81882"/>
    <x v="3"/>
    <n v="3"/>
    <n v="154.63999999999999"/>
    <s v="832 Main St"/>
    <x v="0"/>
    <x v="4"/>
    <s v="TRK62371264"/>
    <n v="6"/>
    <s v="WINTER15"/>
    <x v="3"/>
    <x v="892"/>
    <m/>
  </r>
  <r>
    <s v="ORD200896"/>
    <x v="266"/>
    <s v="C85466"/>
    <x v="6"/>
    <n v="3"/>
    <n v="147.29"/>
    <s v="102 Main St"/>
    <x v="3"/>
    <x v="0"/>
    <s v="TRK66764177"/>
    <n v="3"/>
    <s v="FREESHIP"/>
    <x v="4"/>
    <x v="893"/>
    <m/>
  </r>
  <r>
    <s v="ORD200897"/>
    <x v="459"/>
    <s v="C87995"/>
    <x v="5"/>
    <n v="4"/>
    <n v="481.48"/>
    <s v="358 Main St"/>
    <x v="3"/>
    <x v="3"/>
    <s v="TRK38730545"/>
    <n v="5"/>
    <s v="SAVE10"/>
    <x v="0"/>
    <x v="894"/>
    <m/>
  </r>
  <r>
    <s v="ORD200898"/>
    <x v="376"/>
    <s v="C44619"/>
    <x v="0"/>
    <n v="3"/>
    <n v="158.37"/>
    <s v="742 Main St"/>
    <x v="4"/>
    <x v="0"/>
    <s v="TRK66662528"/>
    <n v="6"/>
    <s v="NO COUPON"/>
    <x v="1"/>
    <x v="895"/>
    <m/>
  </r>
  <r>
    <s v="ORD200899"/>
    <x v="577"/>
    <s v="C99904"/>
    <x v="4"/>
    <n v="2"/>
    <n v="323.37"/>
    <s v="552 Main St"/>
    <x v="1"/>
    <x v="4"/>
    <s v="TRK83843411"/>
    <n v="3"/>
    <s v="SAVE10"/>
    <x v="0"/>
    <x v="896"/>
    <m/>
  </r>
  <r>
    <s v="ORD200900"/>
    <x v="492"/>
    <s v="C52342"/>
    <x v="5"/>
    <n v="5"/>
    <n v="73.83"/>
    <s v="991 Main St"/>
    <x v="0"/>
    <x v="4"/>
    <s v="TRK67342586"/>
    <n v="9"/>
    <s v="NO COUPON"/>
    <x v="0"/>
    <x v="897"/>
    <m/>
  </r>
  <r>
    <s v="ORD200901"/>
    <x v="578"/>
    <s v="C44277"/>
    <x v="2"/>
    <n v="1"/>
    <n v="458.63"/>
    <s v="839 Main St"/>
    <x v="0"/>
    <x v="2"/>
    <s v="TRK79321479"/>
    <n v="4"/>
    <s v="WINTER15"/>
    <x v="1"/>
    <x v="898"/>
    <m/>
  </r>
  <r>
    <s v="ORD200902"/>
    <x v="579"/>
    <s v="C61162"/>
    <x v="0"/>
    <n v="4"/>
    <n v="180.25"/>
    <s v="813 Main St"/>
    <x v="0"/>
    <x v="1"/>
    <s v="TRK76712124"/>
    <n v="7"/>
    <s v="NO COUPON"/>
    <x v="3"/>
    <x v="899"/>
    <m/>
  </r>
  <r>
    <s v="ORD200903"/>
    <x v="209"/>
    <s v="C80868"/>
    <x v="0"/>
    <n v="3"/>
    <n v="473.49"/>
    <s v="205 Main St"/>
    <x v="2"/>
    <x v="4"/>
    <s v="TRK56186636"/>
    <n v="7"/>
    <s v="NO COUPON"/>
    <x v="2"/>
    <x v="900"/>
    <m/>
  </r>
  <r>
    <s v="ORD200904"/>
    <x v="580"/>
    <s v="C16693"/>
    <x v="0"/>
    <n v="4"/>
    <n v="237.43"/>
    <s v="262 Main St"/>
    <x v="4"/>
    <x v="1"/>
    <s v="TRK41146508"/>
    <n v="8"/>
    <s v="WINTER15"/>
    <x v="1"/>
    <x v="901"/>
    <m/>
  </r>
  <r>
    <s v="ORD200905"/>
    <x v="581"/>
    <s v="C67818"/>
    <x v="5"/>
    <n v="1"/>
    <n v="442.39"/>
    <s v="101 Main St"/>
    <x v="3"/>
    <x v="4"/>
    <s v="TRK81978113"/>
    <n v="6"/>
    <s v="FREESHIP"/>
    <x v="3"/>
    <x v="902"/>
    <m/>
  </r>
  <r>
    <s v="ORD200906"/>
    <x v="459"/>
    <s v="C49938"/>
    <x v="0"/>
    <n v="1"/>
    <n v="62.12"/>
    <s v="141 Main St"/>
    <x v="4"/>
    <x v="2"/>
    <s v="TRK80175572"/>
    <n v="2"/>
    <s v="NO COUPON"/>
    <x v="2"/>
    <x v="903"/>
    <m/>
  </r>
  <r>
    <s v="ORD200907"/>
    <x v="548"/>
    <s v="C90898"/>
    <x v="6"/>
    <n v="5"/>
    <n v="298.39"/>
    <s v="583 Main St"/>
    <x v="3"/>
    <x v="1"/>
    <s v="TRK52935170"/>
    <n v="7"/>
    <s v="WINTER15"/>
    <x v="1"/>
    <x v="904"/>
    <m/>
  </r>
  <r>
    <s v="ORD200908"/>
    <x v="138"/>
    <s v="C35117"/>
    <x v="6"/>
    <n v="2"/>
    <n v="697.93"/>
    <s v="332 Main St"/>
    <x v="2"/>
    <x v="1"/>
    <s v="TRK27155709"/>
    <n v="2"/>
    <s v="SAVE10"/>
    <x v="4"/>
    <x v="905"/>
    <m/>
  </r>
  <r>
    <s v="ORD200909"/>
    <x v="582"/>
    <s v="C60203"/>
    <x v="2"/>
    <n v="2"/>
    <n v="291.85000000000002"/>
    <s v="569 Main St"/>
    <x v="4"/>
    <x v="0"/>
    <s v="TRK76525279"/>
    <n v="5"/>
    <s v="FREESHIP"/>
    <x v="0"/>
    <x v="906"/>
    <m/>
  </r>
  <r>
    <s v="ORD200910"/>
    <x v="583"/>
    <s v="C36174"/>
    <x v="4"/>
    <n v="3"/>
    <n v="308.98"/>
    <s v="348 Main St"/>
    <x v="4"/>
    <x v="3"/>
    <s v="TRK26397548"/>
    <n v="3"/>
    <s v="SAVE10"/>
    <x v="0"/>
    <x v="907"/>
    <m/>
  </r>
  <r>
    <s v="ORD200911"/>
    <x v="584"/>
    <s v="C80872"/>
    <x v="6"/>
    <n v="5"/>
    <n v="396.86"/>
    <s v="593 Main St"/>
    <x v="4"/>
    <x v="1"/>
    <s v="TRK43967487"/>
    <n v="9"/>
    <s v="SAVE10"/>
    <x v="0"/>
    <x v="908"/>
    <m/>
  </r>
  <r>
    <s v="ORD200912"/>
    <x v="585"/>
    <s v="C67604"/>
    <x v="6"/>
    <n v="2"/>
    <n v="139.69"/>
    <s v="318 Main St"/>
    <x v="1"/>
    <x v="2"/>
    <s v="TRK85545920"/>
    <n v="7"/>
    <s v="FREESHIP"/>
    <x v="2"/>
    <x v="909"/>
    <m/>
  </r>
  <r>
    <s v="ORD200913"/>
    <x v="223"/>
    <s v="C45599"/>
    <x v="4"/>
    <n v="5"/>
    <n v="475.95"/>
    <s v="505 Main St"/>
    <x v="2"/>
    <x v="2"/>
    <s v="TRK62277685"/>
    <n v="8"/>
    <s v="WINTER15"/>
    <x v="3"/>
    <x v="910"/>
    <m/>
  </r>
  <r>
    <s v="ORD200914"/>
    <x v="441"/>
    <s v="C70352"/>
    <x v="6"/>
    <n v="1"/>
    <n v="626.6"/>
    <s v="955 Main St"/>
    <x v="3"/>
    <x v="2"/>
    <s v="TRK51589589"/>
    <n v="4"/>
    <s v="WINTER15"/>
    <x v="3"/>
    <x v="911"/>
    <m/>
  </r>
  <r>
    <s v="ORD200915"/>
    <x v="586"/>
    <s v="C20643"/>
    <x v="5"/>
    <n v="4"/>
    <n v="502.99"/>
    <s v="939 Main St"/>
    <x v="0"/>
    <x v="0"/>
    <s v="TRK30736692"/>
    <n v="4"/>
    <s v="WINTER15"/>
    <x v="1"/>
    <x v="912"/>
    <m/>
  </r>
  <r>
    <s v="ORD200916"/>
    <x v="587"/>
    <s v="C35669"/>
    <x v="4"/>
    <n v="5"/>
    <n v="578.83000000000004"/>
    <s v="165 Main St"/>
    <x v="4"/>
    <x v="2"/>
    <s v="TRK13928455"/>
    <n v="6"/>
    <s v="NO COUPON"/>
    <x v="1"/>
    <x v="913"/>
    <m/>
  </r>
  <r>
    <s v="ORD200917"/>
    <x v="588"/>
    <s v="C65524"/>
    <x v="5"/>
    <n v="5"/>
    <n v="383.82"/>
    <s v="836 Main St"/>
    <x v="2"/>
    <x v="2"/>
    <s v="TRK19315310"/>
    <n v="7"/>
    <s v="FREESHIP"/>
    <x v="4"/>
    <x v="914"/>
    <m/>
  </r>
  <r>
    <s v="ORD200918"/>
    <x v="53"/>
    <s v="C74359"/>
    <x v="5"/>
    <n v="5"/>
    <n v="368.25"/>
    <s v="706 Main St"/>
    <x v="1"/>
    <x v="3"/>
    <s v="TRK18250450"/>
    <n v="5"/>
    <s v="NO COUPON"/>
    <x v="0"/>
    <x v="915"/>
    <m/>
  </r>
  <r>
    <s v="ORD200919"/>
    <x v="492"/>
    <s v="C92086"/>
    <x v="4"/>
    <n v="2"/>
    <n v="374.6"/>
    <s v="187 Main St"/>
    <x v="1"/>
    <x v="0"/>
    <s v="TRK23357668"/>
    <n v="3"/>
    <s v="FREESHIP"/>
    <x v="1"/>
    <x v="916"/>
    <m/>
  </r>
  <r>
    <s v="ORD200920"/>
    <x v="495"/>
    <s v="C26137"/>
    <x v="2"/>
    <n v="2"/>
    <n v="428.09"/>
    <s v="978 Main St"/>
    <x v="2"/>
    <x v="2"/>
    <s v="TRK98110407"/>
    <n v="6"/>
    <s v="NO COUPON"/>
    <x v="0"/>
    <x v="917"/>
    <m/>
  </r>
  <r>
    <s v="ORD200921"/>
    <x v="528"/>
    <s v="C90573"/>
    <x v="2"/>
    <n v="1"/>
    <n v="438.93"/>
    <s v="144 Main St"/>
    <x v="3"/>
    <x v="1"/>
    <s v="TRK90075720"/>
    <n v="3"/>
    <s v="SAVE10"/>
    <x v="1"/>
    <x v="918"/>
    <m/>
  </r>
  <r>
    <s v="ORD200922"/>
    <x v="589"/>
    <s v="C81857"/>
    <x v="6"/>
    <n v="2"/>
    <n v="563.82000000000005"/>
    <s v="487 Main St"/>
    <x v="2"/>
    <x v="4"/>
    <s v="TRK79737732"/>
    <n v="3"/>
    <s v="NO COUPON"/>
    <x v="0"/>
    <x v="919"/>
    <m/>
  </r>
  <r>
    <s v="ORD200923"/>
    <x v="91"/>
    <s v="C91582"/>
    <x v="4"/>
    <n v="3"/>
    <n v="649.92999999999995"/>
    <s v="836 Main St"/>
    <x v="2"/>
    <x v="4"/>
    <s v="TRK99938245"/>
    <n v="7"/>
    <s v="WINTER15"/>
    <x v="3"/>
    <x v="920"/>
    <m/>
  </r>
  <r>
    <s v="ORD200924"/>
    <x v="29"/>
    <s v="C81319"/>
    <x v="4"/>
    <n v="5"/>
    <n v="268.43"/>
    <s v="991 Main St"/>
    <x v="4"/>
    <x v="2"/>
    <s v="TRK55330558"/>
    <n v="5"/>
    <s v="SAVE10"/>
    <x v="2"/>
    <x v="921"/>
    <m/>
  </r>
  <r>
    <s v="ORD200925"/>
    <x v="590"/>
    <s v="C78500"/>
    <x v="0"/>
    <n v="5"/>
    <n v="502.47"/>
    <s v="304 Main St"/>
    <x v="1"/>
    <x v="0"/>
    <s v="TRK97460884"/>
    <n v="10"/>
    <s v="WINTER15"/>
    <x v="2"/>
    <x v="922"/>
    <m/>
  </r>
  <r>
    <s v="ORD200926"/>
    <x v="591"/>
    <s v="C67533"/>
    <x v="6"/>
    <n v="1"/>
    <n v="26.95"/>
    <s v="672 Main St"/>
    <x v="4"/>
    <x v="3"/>
    <s v="TRK14566395"/>
    <n v="1"/>
    <s v="WINTER15"/>
    <x v="2"/>
    <x v="923"/>
    <m/>
  </r>
  <r>
    <s v="ORD200927"/>
    <x v="592"/>
    <s v="C35566"/>
    <x v="5"/>
    <n v="4"/>
    <n v="64.69"/>
    <s v="638 Main St"/>
    <x v="0"/>
    <x v="0"/>
    <s v="TRK10003020"/>
    <n v="7"/>
    <s v="WINTER15"/>
    <x v="4"/>
    <x v="924"/>
    <m/>
  </r>
  <r>
    <s v="ORD200928"/>
    <x v="593"/>
    <s v="C77166"/>
    <x v="5"/>
    <n v="3"/>
    <n v="247.11"/>
    <s v="821 Main St"/>
    <x v="0"/>
    <x v="2"/>
    <s v="TRK18896595"/>
    <n v="3"/>
    <s v="WINTER15"/>
    <x v="1"/>
    <x v="925"/>
    <m/>
  </r>
  <r>
    <s v="ORD200929"/>
    <x v="594"/>
    <s v="C67936"/>
    <x v="2"/>
    <n v="2"/>
    <n v="536.25"/>
    <s v="553 Main St"/>
    <x v="0"/>
    <x v="4"/>
    <s v="TRK71803414"/>
    <n v="3"/>
    <s v="NO COUPON"/>
    <x v="2"/>
    <x v="926"/>
    <m/>
  </r>
  <r>
    <s v="ORD200930"/>
    <x v="393"/>
    <s v="C59554"/>
    <x v="1"/>
    <n v="2"/>
    <n v="456.04"/>
    <s v="382 Main St"/>
    <x v="0"/>
    <x v="2"/>
    <s v="TRK28182447"/>
    <n v="4"/>
    <s v="FREESHIP"/>
    <x v="2"/>
    <x v="927"/>
    <m/>
  </r>
  <r>
    <s v="ORD200931"/>
    <x v="543"/>
    <s v="C14005"/>
    <x v="4"/>
    <n v="2"/>
    <n v="40.229999999999997"/>
    <s v="623 Main St"/>
    <x v="2"/>
    <x v="1"/>
    <s v="TRK87567926"/>
    <n v="4"/>
    <s v="SAVE10"/>
    <x v="4"/>
    <x v="928"/>
    <m/>
  </r>
  <r>
    <s v="ORD200932"/>
    <x v="465"/>
    <s v="C26118"/>
    <x v="5"/>
    <n v="2"/>
    <n v="72.39"/>
    <s v="168 Main St"/>
    <x v="1"/>
    <x v="3"/>
    <s v="TRK15334251"/>
    <n v="7"/>
    <s v="WINTER15"/>
    <x v="0"/>
    <x v="929"/>
    <m/>
  </r>
  <r>
    <s v="ORD200933"/>
    <x v="595"/>
    <s v="C59685"/>
    <x v="0"/>
    <n v="2"/>
    <n v="394.16"/>
    <s v="255 Main St"/>
    <x v="1"/>
    <x v="0"/>
    <s v="TRK43718093"/>
    <n v="2"/>
    <s v="NO COUPON"/>
    <x v="1"/>
    <x v="930"/>
    <m/>
  </r>
  <r>
    <s v="ORD200934"/>
    <x v="565"/>
    <s v="C40304"/>
    <x v="5"/>
    <n v="4"/>
    <n v="119.84"/>
    <s v="692 Main St"/>
    <x v="3"/>
    <x v="0"/>
    <s v="TRK85790948"/>
    <n v="8"/>
    <s v="FREESHIP"/>
    <x v="1"/>
    <x v="931"/>
    <m/>
  </r>
  <r>
    <s v="ORD200935"/>
    <x v="254"/>
    <s v="C39593"/>
    <x v="1"/>
    <n v="3"/>
    <n v="692.71"/>
    <s v="398 Main St"/>
    <x v="2"/>
    <x v="3"/>
    <s v="TRK62405253"/>
    <n v="3"/>
    <s v="FREESHIP"/>
    <x v="0"/>
    <x v="932"/>
    <m/>
  </r>
  <r>
    <s v="ORD200936"/>
    <x v="596"/>
    <s v="C50612"/>
    <x v="3"/>
    <n v="4"/>
    <n v="56.66"/>
    <s v="737 Main St"/>
    <x v="1"/>
    <x v="3"/>
    <s v="TRK44140968"/>
    <n v="4"/>
    <s v="SAVE10"/>
    <x v="0"/>
    <x v="933"/>
    <m/>
  </r>
  <r>
    <s v="ORD200937"/>
    <x v="462"/>
    <s v="C39791"/>
    <x v="3"/>
    <n v="2"/>
    <n v="298.52999999999997"/>
    <s v="536 Main St"/>
    <x v="0"/>
    <x v="1"/>
    <s v="TRK46221436"/>
    <n v="5"/>
    <s v="WINTER15"/>
    <x v="2"/>
    <x v="934"/>
    <m/>
  </r>
  <r>
    <s v="ORD200938"/>
    <x v="219"/>
    <s v="C39017"/>
    <x v="3"/>
    <n v="3"/>
    <n v="331.46"/>
    <s v="696 Main St"/>
    <x v="2"/>
    <x v="1"/>
    <s v="TRK91155214"/>
    <n v="6"/>
    <s v="WINTER15"/>
    <x v="1"/>
    <x v="935"/>
    <m/>
  </r>
  <r>
    <s v="ORD200939"/>
    <x v="597"/>
    <s v="C48510"/>
    <x v="5"/>
    <n v="2"/>
    <n v="521.4"/>
    <s v="212 Main St"/>
    <x v="4"/>
    <x v="3"/>
    <s v="TRK53152886"/>
    <n v="7"/>
    <s v="SAVE10"/>
    <x v="0"/>
    <x v="936"/>
    <m/>
  </r>
  <r>
    <s v="ORD200940"/>
    <x v="14"/>
    <s v="C74003"/>
    <x v="4"/>
    <n v="4"/>
    <n v="305.32"/>
    <s v="679 Main St"/>
    <x v="1"/>
    <x v="1"/>
    <s v="TRK91525779"/>
    <n v="4"/>
    <s v="SAVE10"/>
    <x v="4"/>
    <x v="937"/>
    <m/>
  </r>
  <r>
    <s v="ORD200941"/>
    <x v="15"/>
    <s v="C91155"/>
    <x v="4"/>
    <n v="5"/>
    <n v="111.7"/>
    <s v="599 Main St"/>
    <x v="2"/>
    <x v="1"/>
    <s v="TRK82162952"/>
    <n v="9"/>
    <s v="FREESHIP"/>
    <x v="2"/>
    <x v="938"/>
    <m/>
  </r>
  <r>
    <s v="ORD200942"/>
    <x v="372"/>
    <s v="C17591"/>
    <x v="2"/>
    <n v="1"/>
    <n v="479.76"/>
    <s v="882 Main St"/>
    <x v="2"/>
    <x v="4"/>
    <s v="TRK56070470"/>
    <n v="1"/>
    <s v="NO COUPON"/>
    <x v="2"/>
    <x v="939"/>
    <m/>
  </r>
  <r>
    <s v="ORD200943"/>
    <x v="140"/>
    <s v="C43330"/>
    <x v="0"/>
    <n v="3"/>
    <n v="193.49"/>
    <s v="355 Main St"/>
    <x v="3"/>
    <x v="2"/>
    <s v="TRK71594838"/>
    <n v="6"/>
    <s v="FREESHIP"/>
    <x v="3"/>
    <x v="940"/>
    <m/>
  </r>
  <r>
    <s v="ORD200944"/>
    <x v="393"/>
    <s v="C32687"/>
    <x v="5"/>
    <n v="2"/>
    <n v="426.22"/>
    <s v="448 Main St"/>
    <x v="1"/>
    <x v="3"/>
    <s v="TRK98284560"/>
    <n v="7"/>
    <s v="WINTER15"/>
    <x v="4"/>
    <x v="941"/>
    <m/>
  </r>
  <r>
    <s v="ORD200945"/>
    <x v="38"/>
    <s v="C79722"/>
    <x v="2"/>
    <n v="5"/>
    <n v="276.44"/>
    <s v="619 Main St"/>
    <x v="3"/>
    <x v="0"/>
    <s v="TRK29976438"/>
    <n v="10"/>
    <s v="FREESHIP"/>
    <x v="1"/>
    <x v="942"/>
    <m/>
  </r>
  <r>
    <s v="ORD200946"/>
    <x v="598"/>
    <s v="C65021"/>
    <x v="1"/>
    <n v="2"/>
    <n v="404.96"/>
    <s v="546 Main St"/>
    <x v="4"/>
    <x v="0"/>
    <s v="TRK20626179"/>
    <n v="4"/>
    <s v="SAVE10"/>
    <x v="2"/>
    <x v="943"/>
    <m/>
  </r>
  <r>
    <s v="ORD200947"/>
    <x v="599"/>
    <s v="C85520"/>
    <x v="1"/>
    <n v="4"/>
    <n v="465.66"/>
    <s v="119 Main St"/>
    <x v="1"/>
    <x v="2"/>
    <s v="TRK65994177"/>
    <n v="9"/>
    <s v="FREESHIP"/>
    <x v="2"/>
    <x v="944"/>
    <m/>
  </r>
  <r>
    <s v="ORD200948"/>
    <x v="587"/>
    <s v="C94569"/>
    <x v="1"/>
    <n v="2"/>
    <n v="594.07000000000005"/>
    <s v="739 Main St"/>
    <x v="3"/>
    <x v="1"/>
    <s v="TRK79269291"/>
    <n v="2"/>
    <s v="NO COUPON"/>
    <x v="4"/>
    <x v="945"/>
    <m/>
  </r>
  <r>
    <s v="ORD200949"/>
    <x v="576"/>
    <s v="C55778"/>
    <x v="6"/>
    <n v="5"/>
    <n v="110.38"/>
    <s v="319 Main St"/>
    <x v="4"/>
    <x v="4"/>
    <s v="TRK93797108"/>
    <n v="10"/>
    <s v="NO COUPON"/>
    <x v="1"/>
    <x v="946"/>
    <m/>
  </r>
  <r>
    <s v="ORD200950"/>
    <x v="583"/>
    <s v="C19722"/>
    <x v="5"/>
    <n v="1"/>
    <n v="596.24"/>
    <s v="891 Main St"/>
    <x v="2"/>
    <x v="2"/>
    <s v="TRK78094361"/>
    <n v="4"/>
    <s v="FREESHIP"/>
    <x v="0"/>
    <x v="947"/>
    <m/>
  </r>
  <r>
    <s v="ORD200951"/>
    <x v="319"/>
    <s v="C74928"/>
    <x v="4"/>
    <n v="2"/>
    <n v="306.24"/>
    <s v="589 Main St"/>
    <x v="1"/>
    <x v="2"/>
    <s v="TRK39845914"/>
    <n v="4"/>
    <s v="FREESHIP"/>
    <x v="2"/>
    <x v="948"/>
    <m/>
  </r>
  <r>
    <s v="ORD200952"/>
    <x v="37"/>
    <s v="C49111"/>
    <x v="0"/>
    <n v="3"/>
    <n v="503.39"/>
    <s v="225 Main St"/>
    <x v="1"/>
    <x v="4"/>
    <s v="TRK45303393"/>
    <n v="5"/>
    <s v="NO COUPON"/>
    <x v="3"/>
    <x v="949"/>
    <m/>
  </r>
  <r>
    <s v="ORD200953"/>
    <x v="600"/>
    <s v="C43721"/>
    <x v="1"/>
    <n v="1"/>
    <n v="131.61000000000001"/>
    <s v="971 Main St"/>
    <x v="4"/>
    <x v="0"/>
    <s v="TRK89392104"/>
    <n v="2"/>
    <s v="FREESHIP"/>
    <x v="3"/>
    <x v="950"/>
    <m/>
  </r>
  <r>
    <s v="ORD200954"/>
    <x v="601"/>
    <s v="C68609"/>
    <x v="3"/>
    <n v="3"/>
    <n v="443.44"/>
    <s v="240 Main St"/>
    <x v="3"/>
    <x v="0"/>
    <s v="TRK58273778"/>
    <n v="3"/>
    <s v="FREESHIP"/>
    <x v="4"/>
    <x v="951"/>
    <m/>
  </r>
  <r>
    <s v="ORD200955"/>
    <x v="19"/>
    <s v="C82068"/>
    <x v="3"/>
    <n v="1"/>
    <n v="408.13"/>
    <s v="164 Main St"/>
    <x v="3"/>
    <x v="0"/>
    <s v="TRK25779180"/>
    <n v="3"/>
    <s v="WINTER15"/>
    <x v="0"/>
    <x v="952"/>
    <m/>
  </r>
  <r>
    <s v="ORD200956"/>
    <x v="166"/>
    <s v="C21191"/>
    <x v="1"/>
    <n v="2"/>
    <n v="160.97999999999999"/>
    <s v="381 Main St"/>
    <x v="0"/>
    <x v="3"/>
    <s v="TRK86246309"/>
    <n v="3"/>
    <s v="SAVE10"/>
    <x v="1"/>
    <x v="953"/>
    <m/>
  </r>
  <r>
    <s v="ORD200957"/>
    <x v="602"/>
    <s v="C73575"/>
    <x v="0"/>
    <n v="5"/>
    <n v="643.89"/>
    <s v="851 Main St"/>
    <x v="4"/>
    <x v="2"/>
    <s v="TRK23387612"/>
    <n v="8"/>
    <s v="WINTER15"/>
    <x v="3"/>
    <x v="954"/>
    <m/>
  </r>
  <r>
    <s v="ORD200958"/>
    <x v="603"/>
    <s v="C82685"/>
    <x v="6"/>
    <n v="3"/>
    <n v="158.66"/>
    <s v="537 Main St"/>
    <x v="3"/>
    <x v="3"/>
    <s v="TRK70184320"/>
    <n v="7"/>
    <s v="WINTER15"/>
    <x v="2"/>
    <x v="955"/>
    <m/>
  </r>
  <r>
    <s v="ORD200959"/>
    <x v="604"/>
    <s v="C73996"/>
    <x v="2"/>
    <n v="2"/>
    <n v="143.82"/>
    <s v="856 Main St"/>
    <x v="2"/>
    <x v="2"/>
    <s v="TRK74579570"/>
    <n v="6"/>
    <s v="SAVE10"/>
    <x v="0"/>
    <x v="956"/>
    <m/>
  </r>
  <r>
    <s v="ORD200960"/>
    <x v="66"/>
    <s v="C87687"/>
    <x v="5"/>
    <n v="3"/>
    <n v="379.07"/>
    <s v="312 Main St"/>
    <x v="3"/>
    <x v="4"/>
    <s v="TRK60383805"/>
    <n v="3"/>
    <s v="WINTER15"/>
    <x v="4"/>
    <x v="957"/>
    <m/>
  </r>
  <r>
    <s v="ORD200961"/>
    <x v="435"/>
    <s v="C55464"/>
    <x v="1"/>
    <n v="1"/>
    <n v="601.36"/>
    <s v="532 Main St"/>
    <x v="1"/>
    <x v="0"/>
    <s v="TRK81178598"/>
    <n v="1"/>
    <s v="NO COUPON"/>
    <x v="3"/>
    <x v="958"/>
    <m/>
  </r>
  <r>
    <s v="ORD200962"/>
    <x v="605"/>
    <s v="C12459"/>
    <x v="1"/>
    <n v="2"/>
    <n v="142.08000000000001"/>
    <s v="838 Main St"/>
    <x v="3"/>
    <x v="3"/>
    <s v="TRK30674085"/>
    <n v="4"/>
    <s v="SAVE10"/>
    <x v="1"/>
    <x v="959"/>
    <m/>
  </r>
  <r>
    <s v="ORD200963"/>
    <x v="606"/>
    <s v="C88075"/>
    <x v="3"/>
    <n v="5"/>
    <n v="530.34"/>
    <s v="970 Main St"/>
    <x v="1"/>
    <x v="0"/>
    <s v="TRK42832976"/>
    <n v="9"/>
    <s v="FREESHIP"/>
    <x v="4"/>
    <x v="960"/>
    <m/>
  </r>
  <r>
    <s v="ORD200964"/>
    <x v="38"/>
    <s v="C18583"/>
    <x v="1"/>
    <n v="5"/>
    <n v="364.42"/>
    <s v="778 Main St"/>
    <x v="2"/>
    <x v="1"/>
    <s v="TRK43084595"/>
    <n v="10"/>
    <s v="SAVE10"/>
    <x v="1"/>
    <x v="961"/>
    <m/>
  </r>
  <r>
    <s v="ORD200965"/>
    <x v="607"/>
    <s v="C70412"/>
    <x v="5"/>
    <n v="4"/>
    <n v="578.28"/>
    <s v="791 Main St"/>
    <x v="3"/>
    <x v="1"/>
    <s v="TRK22192783"/>
    <n v="5"/>
    <s v="FREESHIP"/>
    <x v="2"/>
    <x v="962"/>
    <m/>
  </r>
  <r>
    <s v="ORD200966"/>
    <x v="608"/>
    <s v="C58503"/>
    <x v="0"/>
    <n v="5"/>
    <n v="280.52"/>
    <s v="290 Main St"/>
    <x v="2"/>
    <x v="1"/>
    <s v="TRK12981657"/>
    <n v="7"/>
    <s v="WINTER15"/>
    <x v="3"/>
    <x v="963"/>
    <m/>
  </r>
  <r>
    <s v="ORD200967"/>
    <x v="138"/>
    <s v="C52879"/>
    <x v="2"/>
    <n v="5"/>
    <n v="638.91999999999996"/>
    <s v="502 Main St"/>
    <x v="2"/>
    <x v="2"/>
    <s v="TRK67403284"/>
    <n v="5"/>
    <s v="FREESHIP"/>
    <x v="4"/>
    <x v="964"/>
    <m/>
  </r>
  <r>
    <s v="ORD200968"/>
    <x v="458"/>
    <s v="C67870"/>
    <x v="0"/>
    <n v="4"/>
    <n v="412.2"/>
    <s v="664 Main St"/>
    <x v="2"/>
    <x v="0"/>
    <s v="TRK72602178"/>
    <n v="6"/>
    <s v="WINTER15"/>
    <x v="1"/>
    <x v="965"/>
    <m/>
  </r>
  <r>
    <s v="ORD200969"/>
    <x v="85"/>
    <s v="C19439"/>
    <x v="6"/>
    <n v="1"/>
    <n v="440.34"/>
    <s v="675 Main St"/>
    <x v="3"/>
    <x v="0"/>
    <s v="TRK25383993"/>
    <n v="2"/>
    <s v="WINTER15"/>
    <x v="3"/>
    <x v="966"/>
    <m/>
  </r>
  <r>
    <s v="ORD200970"/>
    <x v="609"/>
    <s v="C72664"/>
    <x v="6"/>
    <n v="1"/>
    <n v="627.15"/>
    <s v="241 Main St"/>
    <x v="4"/>
    <x v="3"/>
    <s v="TRK86694331"/>
    <n v="5"/>
    <s v="SAVE10"/>
    <x v="0"/>
    <x v="967"/>
    <m/>
  </r>
  <r>
    <s v="ORD200971"/>
    <x v="582"/>
    <s v="C32650"/>
    <x v="0"/>
    <n v="2"/>
    <n v="605.26"/>
    <s v="934 Main St"/>
    <x v="4"/>
    <x v="1"/>
    <s v="TRK66648743"/>
    <n v="4"/>
    <s v="WINTER15"/>
    <x v="1"/>
    <x v="968"/>
    <m/>
  </r>
  <r>
    <s v="ORD200972"/>
    <x v="410"/>
    <s v="C66438"/>
    <x v="5"/>
    <n v="1"/>
    <n v="90.27"/>
    <s v="816 Main St"/>
    <x v="4"/>
    <x v="3"/>
    <s v="TRK32035271"/>
    <n v="5"/>
    <s v="SAVE10"/>
    <x v="3"/>
    <x v="969"/>
    <m/>
  </r>
  <r>
    <s v="ORD200973"/>
    <x v="559"/>
    <s v="C70010"/>
    <x v="6"/>
    <n v="5"/>
    <n v="230.77"/>
    <s v="141 Main St"/>
    <x v="1"/>
    <x v="4"/>
    <s v="TRK50594008"/>
    <n v="10"/>
    <s v="WINTER15"/>
    <x v="1"/>
    <x v="970"/>
    <m/>
  </r>
  <r>
    <s v="ORD200974"/>
    <x v="610"/>
    <s v="C30722"/>
    <x v="6"/>
    <n v="5"/>
    <n v="266.77999999999997"/>
    <s v="274 Main St"/>
    <x v="3"/>
    <x v="1"/>
    <s v="TRK52088168"/>
    <n v="5"/>
    <s v="NO COUPON"/>
    <x v="2"/>
    <x v="971"/>
    <m/>
  </r>
  <r>
    <s v="ORD200975"/>
    <x v="419"/>
    <s v="C70529"/>
    <x v="6"/>
    <n v="1"/>
    <n v="105.92"/>
    <s v="974 Main St"/>
    <x v="3"/>
    <x v="2"/>
    <s v="TRK82165408"/>
    <n v="6"/>
    <s v="SAVE10"/>
    <x v="2"/>
    <x v="972"/>
    <m/>
  </r>
  <r>
    <s v="ORD200976"/>
    <x v="172"/>
    <s v="C18984"/>
    <x v="2"/>
    <n v="3"/>
    <n v="589.29999999999995"/>
    <s v="650 Main St"/>
    <x v="2"/>
    <x v="2"/>
    <s v="TRK49298239"/>
    <n v="6"/>
    <s v="WINTER15"/>
    <x v="1"/>
    <x v="973"/>
    <m/>
  </r>
  <r>
    <s v="ORD200977"/>
    <x v="423"/>
    <s v="C85841"/>
    <x v="3"/>
    <n v="4"/>
    <n v="649.47"/>
    <s v="608 Main St"/>
    <x v="4"/>
    <x v="4"/>
    <s v="TRK99820544"/>
    <n v="8"/>
    <s v="SAVE10"/>
    <x v="4"/>
    <x v="974"/>
    <m/>
  </r>
  <r>
    <s v="ORD200978"/>
    <x v="611"/>
    <s v="C41508"/>
    <x v="4"/>
    <n v="4"/>
    <n v="107.49"/>
    <s v="993 Main St"/>
    <x v="4"/>
    <x v="3"/>
    <s v="TRK61047536"/>
    <n v="5"/>
    <s v="NO COUPON"/>
    <x v="4"/>
    <x v="975"/>
    <m/>
  </r>
  <r>
    <s v="ORD200979"/>
    <x v="546"/>
    <s v="C75018"/>
    <x v="0"/>
    <n v="3"/>
    <n v="669.06"/>
    <s v="299 Main St"/>
    <x v="4"/>
    <x v="3"/>
    <s v="TRK51794806"/>
    <n v="7"/>
    <s v="SAVE10"/>
    <x v="3"/>
    <x v="976"/>
    <m/>
  </r>
  <r>
    <s v="ORD200980"/>
    <x v="612"/>
    <s v="C84320"/>
    <x v="3"/>
    <n v="3"/>
    <n v="69.650000000000006"/>
    <s v="107 Main St"/>
    <x v="4"/>
    <x v="3"/>
    <s v="TRK81093218"/>
    <n v="7"/>
    <s v="WINTER15"/>
    <x v="0"/>
    <x v="977"/>
    <m/>
  </r>
  <r>
    <s v="ORD200981"/>
    <x v="371"/>
    <s v="C12609"/>
    <x v="1"/>
    <n v="4"/>
    <n v="136.83000000000001"/>
    <s v="490 Main St"/>
    <x v="0"/>
    <x v="4"/>
    <s v="TRK56379337"/>
    <n v="8"/>
    <s v="SAVE10"/>
    <x v="2"/>
    <x v="978"/>
    <m/>
  </r>
  <r>
    <s v="ORD200982"/>
    <x v="605"/>
    <s v="C64935"/>
    <x v="0"/>
    <n v="1"/>
    <n v="304.11"/>
    <s v="707 Main St"/>
    <x v="3"/>
    <x v="0"/>
    <s v="TRK42969065"/>
    <n v="2"/>
    <s v="SAVE10"/>
    <x v="1"/>
    <x v="979"/>
    <m/>
  </r>
  <r>
    <s v="ORD200983"/>
    <x v="167"/>
    <s v="C67528"/>
    <x v="0"/>
    <n v="4"/>
    <n v="296.27999999999997"/>
    <s v="110 Main St"/>
    <x v="3"/>
    <x v="0"/>
    <s v="TRK60865210"/>
    <n v="5"/>
    <s v="SAVE10"/>
    <x v="2"/>
    <x v="980"/>
    <m/>
  </r>
  <r>
    <s v="ORD200984"/>
    <x v="252"/>
    <s v="C44176"/>
    <x v="6"/>
    <n v="1"/>
    <n v="77.64"/>
    <s v="706 Main St"/>
    <x v="2"/>
    <x v="0"/>
    <s v="TRK68704764"/>
    <n v="1"/>
    <s v="FREESHIP"/>
    <x v="3"/>
    <x v="981"/>
    <m/>
  </r>
  <r>
    <s v="ORD200985"/>
    <x v="351"/>
    <s v="C92788"/>
    <x v="6"/>
    <n v="1"/>
    <n v="243.71"/>
    <s v="948 Main St"/>
    <x v="3"/>
    <x v="3"/>
    <s v="TRK83835361"/>
    <n v="6"/>
    <s v="SAVE10"/>
    <x v="4"/>
    <x v="982"/>
    <m/>
  </r>
  <r>
    <s v="ORD200986"/>
    <x v="609"/>
    <s v="C69213"/>
    <x v="5"/>
    <n v="4"/>
    <n v="644.96"/>
    <s v="533 Main St"/>
    <x v="2"/>
    <x v="4"/>
    <s v="TRK67837331"/>
    <n v="7"/>
    <s v="FREESHIP"/>
    <x v="2"/>
    <x v="983"/>
    <m/>
  </r>
  <r>
    <s v="ORD200987"/>
    <x v="85"/>
    <s v="C67387"/>
    <x v="1"/>
    <n v="5"/>
    <n v="283.73"/>
    <s v="436 Main St"/>
    <x v="3"/>
    <x v="4"/>
    <s v="TRK54120003"/>
    <n v="8"/>
    <s v="FREESHIP"/>
    <x v="0"/>
    <x v="984"/>
    <m/>
  </r>
  <r>
    <s v="ORD200988"/>
    <x v="496"/>
    <s v="C90318"/>
    <x v="6"/>
    <n v="2"/>
    <n v="629.55999999999995"/>
    <s v="818 Main St"/>
    <x v="3"/>
    <x v="1"/>
    <s v="TRK52765043"/>
    <n v="5"/>
    <s v="WINTER15"/>
    <x v="0"/>
    <x v="985"/>
    <m/>
  </r>
  <r>
    <s v="ORD200989"/>
    <x v="613"/>
    <s v="C49995"/>
    <x v="5"/>
    <n v="4"/>
    <n v="246.11"/>
    <s v="559 Main St"/>
    <x v="2"/>
    <x v="4"/>
    <s v="TRK33212013"/>
    <n v="4"/>
    <s v="SAVE10"/>
    <x v="0"/>
    <x v="986"/>
    <m/>
  </r>
  <r>
    <s v="ORD200990"/>
    <x v="614"/>
    <s v="C52313"/>
    <x v="1"/>
    <n v="2"/>
    <n v="418.26"/>
    <s v="913 Main St"/>
    <x v="0"/>
    <x v="4"/>
    <s v="TRK67368559"/>
    <n v="2"/>
    <s v="SAVE10"/>
    <x v="4"/>
    <x v="987"/>
    <m/>
  </r>
  <r>
    <s v="ORD200991"/>
    <x v="593"/>
    <s v="C10211"/>
    <x v="6"/>
    <n v="5"/>
    <n v="127.18"/>
    <s v="598 Main St"/>
    <x v="0"/>
    <x v="1"/>
    <s v="TRK68938335"/>
    <n v="10"/>
    <s v="FREESHIP"/>
    <x v="4"/>
    <x v="66"/>
    <m/>
  </r>
  <r>
    <s v="ORD200992"/>
    <x v="615"/>
    <s v="C97907"/>
    <x v="4"/>
    <n v="3"/>
    <n v="586.21"/>
    <s v="933 Main St"/>
    <x v="3"/>
    <x v="4"/>
    <s v="TRK89637569"/>
    <n v="4"/>
    <s v="WINTER15"/>
    <x v="1"/>
    <x v="988"/>
    <m/>
  </r>
  <r>
    <s v="ORD200993"/>
    <x v="616"/>
    <s v="C61384"/>
    <x v="0"/>
    <n v="3"/>
    <n v="267.45"/>
    <s v="576 Main St"/>
    <x v="3"/>
    <x v="3"/>
    <s v="TRK33323210"/>
    <n v="5"/>
    <s v="WINTER15"/>
    <x v="0"/>
    <x v="989"/>
    <m/>
  </r>
  <r>
    <s v="ORD200994"/>
    <x v="326"/>
    <s v="C27613"/>
    <x v="2"/>
    <n v="4"/>
    <n v="615.65"/>
    <s v="971 Main St"/>
    <x v="0"/>
    <x v="3"/>
    <s v="TRK63701318"/>
    <n v="9"/>
    <s v="WINTER15"/>
    <x v="4"/>
    <x v="990"/>
    <m/>
  </r>
  <r>
    <s v="ORD200995"/>
    <x v="134"/>
    <s v="C99271"/>
    <x v="0"/>
    <n v="2"/>
    <n v="113.29"/>
    <s v="959 Main St"/>
    <x v="4"/>
    <x v="4"/>
    <s v="TRK87832736"/>
    <n v="5"/>
    <s v="SAVE10"/>
    <x v="3"/>
    <x v="991"/>
    <m/>
  </r>
  <r>
    <s v="ORD200996"/>
    <x v="578"/>
    <s v="C28648"/>
    <x v="0"/>
    <n v="4"/>
    <n v="473.86"/>
    <s v="101 Main St"/>
    <x v="0"/>
    <x v="3"/>
    <s v="TRK92240846"/>
    <n v="7"/>
    <s v="SAVE10"/>
    <x v="3"/>
    <x v="992"/>
    <m/>
  </r>
  <r>
    <s v="ORD200997"/>
    <x v="110"/>
    <s v="C26210"/>
    <x v="5"/>
    <n v="3"/>
    <n v="444.75"/>
    <s v="805 Main St"/>
    <x v="4"/>
    <x v="3"/>
    <s v="TRK40616861"/>
    <n v="6"/>
    <s v="SAVE10"/>
    <x v="3"/>
    <x v="993"/>
    <m/>
  </r>
  <r>
    <s v="ORD200998"/>
    <x v="213"/>
    <s v="C90350"/>
    <x v="1"/>
    <n v="2"/>
    <n v="183.67"/>
    <s v="783 Main St"/>
    <x v="0"/>
    <x v="1"/>
    <s v="TRK22824230"/>
    <n v="6"/>
    <s v="SAVE10"/>
    <x v="4"/>
    <x v="357"/>
    <m/>
  </r>
  <r>
    <s v="ORD200999"/>
    <x v="478"/>
    <s v="C61957"/>
    <x v="4"/>
    <n v="1"/>
    <n v="483.38"/>
    <s v="652 Main St"/>
    <x v="4"/>
    <x v="4"/>
    <s v="TRK43983841"/>
    <n v="6"/>
    <s v="FREESHIP"/>
    <x v="4"/>
    <x v="994"/>
    <m/>
  </r>
  <r>
    <s v="ORD201000"/>
    <x v="617"/>
    <s v="C90132"/>
    <x v="4"/>
    <n v="5"/>
    <n v="260.93"/>
    <s v="582 Main St"/>
    <x v="1"/>
    <x v="3"/>
    <s v="TRK52664903"/>
    <n v="9"/>
    <s v="SAVE10"/>
    <x v="2"/>
    <x v="995"/>
    <m/>
  </r>
  <r>
    <s v="ORD201001"/>
    <x v="618"/>
    <s v="C31371"/>
    <x v="4"/>
    <n v="2"/>
    <n v="253.68"/>
    <s v="122 Main St"/>
    <x v="3"/>
    <x v="0"/>
    <s v="TRK19554327"/>
    <n v="6"/>
    <s v="NO COUPON"/>
    <x v="1"/>
    <x v="996"/>
    <m/>
  </r>
  <r>
    <s v="ORD201002"/>
    <x v="619"/>
    <s v="C83911"/>
    <x v="2"/>
    <n v="4"/>
    <n v="699.88"/>
    <s v="944 Main St"/>
    <x v="4"/>
    <x v="4"/>
    <s v="TRK33188106"/>
    <n v="5"/>
    <s v="WINTER15"/>
    <x v="1"/>
    <x v="997"/>
    <m/>
  </r>
  <r>
    <s v="ORD201003"/>
    <x v="348"/>
    <s v="C84700"/>
    <x v="4"/>
    <n v="5"/>
    <n v="319.97000000000003"/>
    <s v="582 Main St"/>
    <x v="4"/>
    <x v="0"/>
    <s v="TRK14706969"/>
    <n v="7"/>
    <s v="SAVE10"/>
    <x v="4"/>
    <x v="998"/>
    <m/>
  </r>
  <r>
    <s v="ORD201004"/>
    <x v="559"/>
    <s v="C87529"/>
    <x v="3"/>
    <n v="4"/>
    <n v="246.91"/>
    <s v="296 Main St"/>
    <x v="1"/>
    <x v="4"/>
    <s v="TRK15739505"/>
    <n v="8"/>
    <s v="SAVE10"/>
    <x v="1"/>
    <x v="999"/>
    <m/>
  </r>
  <r>
    <s v="ORD201005"/>
    <x v="521"/>
    <s v="C38065"/>
    <x v="4"/>
    <n v="3"/>
    <n v="392.85"/>
    <s v="426 Main St"/>
    <x v="2"/>
    <x v="2"/>
    <s v="TRK11448295"/>
    <n v="6"/>
    <s v="NO COUPON"/>
    <x v="4"/>
    <x v="1000"/>
    <m/>
  </r>
  <r>
    <s v="ORD201006"/>
    <x v="582"/>
    <s v="C27435"/>
    <x v="2"/>
    <n v="5"/>
    <n v="420.98"/>
    <s v="860 Main St"/>
    <x v="4"/>
    <x v="3"/>
    <s v="TRK91458233"/>
    <n v="7"/>
    <s v="SAVE10"/>
    <x v="3"/>
    <x v="1001"/>
    <m/>
  </r>
  <r>
    <s v="ORD201007"/>
    <x v="591"/>
    <s v="C46651"/>
    <x v="0"/>
    <n v="2"/>
    <n v="73.260000000000005"/>
    <s v="839 Main St"/>
    <x v="4"/>
    <x v="4"/>
    <s v="TRK60444502"/>
    <n v="4"/>
    <s v="WINTER15"/>
    <x v="3"/>
    <x v="1002"/>
    <m/>
  </r>
  <r>
    <s v="ORD201008"/>
    <x v="620"/>
    <s v="C62557"/>
    <x v="0"/>
    <n v="3"/>
    <n v="410.88"/>
    <s v="257 Main St"/>
    <x v="4"/>
    <x v="3"/>
    <s v="TRK12742366"/>
    <n v="8"/>
    <s v="FREESHIP"/>
    <x v="0"/>
    <x v="1003"/>
    <m/>
  </r>
  <r>
    <s v="ORD201009"/>
    <x v="621"/>
    <s v="C54494"/>
    <x v="2"/>
    <n v="2"/>
    <n v="176.46"/>
    <s v="696 Main St"/>
    <x v="2"/>
    <x v="3"/>
    <s v="TRK95958645"/>
    <n v="2"/>
    <s v="FREESHIP"/>
    <x v="2"/>
    <x v="1004"/>
    <m/>
  </r>
  <r>
    <s v="ORD201010"/>
    <x v="622"/>
    <s v="C33729"/>
    <x v="0"/>
    <n v="3"/>
    <n v="659.57"/>
    <s v="533 Main St"/>
    <x v="2"/>
    <x v="1"/>
    <s v="TRK35649833"/>
    <n v="6"/>
    <s v="SAVE10"/>
    <x v="2"/>
    <x v="1005"/>
    <m/>
  </r>
  <r>
    <s v="ORD201011"/>
    <x v="623"/>
    <s v="C47823"/>
    <x v="1"/>
    <n v="2"/>
    <n v="478.36"/>
    <s v="654 Main St"/>
    <x v="1"/>
    <x v="0"/>
    <s v="TRK22271097"/>
    <n v="3"/>
    <s v="NO COUPON"/>
    <x v="4"/>
    <x v="1006"/>
    <m/>
  </r>
  <r>
    <s v="ORD201012"/>
    <x v="623"/>
    <s v="C84570"/>
    <x v="4"/>
    <n v="4"/>
    <n v="30.05"/>
    <s v="301 Main St"/>
    <x v="1"/>
    <x v="2"/>
    <s v="TRK12551882"/>
    <n v="6"/>
    <s v="NO COUPON"/>
    <x v="3"/>
    <x v="1007"/>
    <m/>
  </r>
  <r>
    <s v="ORD201013"/>
    <x v="624"/>
    <s v="C91123"/>
    <x v="5"/>
    <n v="4"/>
    <n v="300.56"/>
    <s v="842 Main St"/>
    <x v="4"/>
    <x v="1"/>
    <s v="TRK49568409"/>
    <n v="9"/>
    <s v="FREESHIP"/>
    <x v="3"/>
    <x v="1008"/>
    <m/>
  </r>
  <r>
    <s v="ORD201014"/>
    <x v="389"/>
    <s v="C92548"/>
    <x v="2"/>
    <n v="5"/>
    <n v="226.45"/>
    <s v="160 Main St"/>
    <x v="0"/>
    <x v="2"/>
    <s v="TRK21682892"/>
    <n v="6"/>
    <s v="FREESHIP"/>
    <x v="2"/>
    <x v="1009"/>
    <m/>
  </r>
  <r>
    <s v="ORD201015"/>
    <x v="547"/>
    <s v="C97454"/>
    <x v="4"/>
    <n v="2"/>
    <n v="349.4"/>
    <s v="892 Main St"/>
    <x v="1"/>
    <x v="0"/>
    <s v="TRK73249329"/>
    <n v="2"/>
    <s v="SAVE10"/>
    <x v="0"/>
    <x v="1010"/>
    <m/>
  </r>
  <r>
    <s v="ORD201016"/>
    <x v="10"/>
    <s v="C20257"/>
    <x v="2"/>
    <n v="5"/>
    <n v="268.77999999999997"/>
    <s v="669 Main St"/>
    <x v="0"/>
    <x v="3"/>
    <s v="TRK62135578"/>
    <n v="7"/>
    <s v="WINTER15"/>
    <x v="2"/>
    <x v="1011"/>
    <m/>
  </r>
  <r>
    <s v="ORD201017"/>
    <x v="625"/>
    <s v="C51694"/>
    <x v="3"/>
    <n v="2"/>
    <n v="680.85"/>
    <s v="953 Main St"/>
    <x v="3"/>
    <x v="3"/>
    <s v="TRK83122112"/>
    <n v="6"/>
    <s v="FREESHIP"/>
    <x v="1"/>
    <x v="1012"/>
    <m/>
  </r>
  <r>
    <s v="ORD201018"/>
    <x v="307"/>
    <s v="C77499"/>
    <x v="5"/>
    <n v="3"/>
    <n v="182.48"/>
    <s v="209 Main St"/>
    <x v="4"/>
    <x v="3"/>
    <s v="TRK20703086"/>
    <n v="3"/>
    <s v="NO COUPON"/>
    <x v="0"/>
    <x v="1013"/>
    <m/>
  </r>
  <r>
    <s v="ORD201019"/>
    <x v="616"/>
    <s v="C28386"/>
    <x v="6"/>
    <n v="1"/>
    <n v="277.08999999999997"/>
    <s v="293 Main St"/>
    <x v="4"/>
    <x v="2"/>
    <s v="TRK32954229"/>
    <n v="2"/>
    <s v="SAVE10"/>
    <x v="1"/>
    <x v="1014"/>
    <m/>
  </r>
  <r>
    <s v="ORD201020"/>
    <x v="181"/>
    <s v="C50211"/>
    <x v="2"/>
    <n v="2"/>
    <n v="26.5"/>
    <s v="312 Main St"/>
    <x v="1"/>
    <x v="3"/>
    <s v="TRK47787981"/>
    <n v="3"/>
    <s v="SAVE10"/>
    <x v="0"/>
    <x v="1015"/>
    <m/>
  </r>
  <r>
    <s v="ORD201021"/>
    <x v="5"/>
    <s v="C74519"/>
    <x v="1"/>
    <n v="3"/>
    <n v="315.27"/>
    <s v="309 Main St"/>
    <x v="2"/>
    <x v="1"/>
    <s v="TRK97351945"/>
    <n v="4"/>
    <s v="SAVE10"/>
    <x v="2"/>
    <x v="1016"/>
    <m/>
  </r>
  <r>
    <s v="ORD201022"/>
    <x v="522"/>
    <s v="C19071"/>
    <x v="2"/>
    <n v="3"/>
    <n v="450.98"/>
    <s v="396 Main St"/>
    <x v="2"/>
    <x v="0"/>
    <s v="TRK66537096"/>
    <n v="8"/>
    <s v="SAVE10"/>
    <x v="1"/>
    <x v="1017"/>
    <m/>
  </r>
  <r>
    <s v="ORD201023"/>
    <x v="296"/>
    <s v="C65251"/>
    <x v="5"/>
    <n v="5"/>
    <n v="233.67"/>
    <s v="291 Main St"/>
    <x v="4"/>
    <x v="0"/>
    <s v="TRK32059025"/>
    <n v="10"/>
    <s v="NO COUPON"/>
    <x v="1"/>
    <x v="1018"/>
    <m/>
  </r>
  <r>
    <s v="ORD201024"/>
    <x v="412"/>
    <s v="C90612"/>
    <x v="3"/>
    <n v="3"/>
    <n v="367.75"/>
    <s v="731 Main St"/>
    <x v="4"/>
    <x v="4"/>
    <s v="TRK93022878"/>
    <n v="7"/>
    <s v="FREESHIP"/>
    <x v="3"/>
    <x v="1019"/>
    <m/>
  </r>
  <r>
    <s v="ORD201025"/>
    <x v="271"/>
    <s v="C28406"/>
    <x v="3"/>
    <n v="1"/>
    <n v="23.53"/>
    <s v="174 Main St"/>
    <x v="3"/>
    <x v="3"/>
    <s v="TRK98841457"/>
    <n v="2"/>
    <s v="FREESHIP"/>
    <x v="0"/>
    <x v="1020"/>
    <m/>
  </r>
  <r>
    <s v="ORD201026"/>
    <x v="31"/>
    <s v="C55454"/>
    <x v="0"/>
    <n v="1"/>
    <n v="677.48"/>
    <s v="807 Main St"/>
    <x v="1"/>
    <x v="3"/>
    <s v="TRK13281370"/>
    <n v="1"/>
    <s v="WINTER15"/>
    <x v="3"/>
    <x v="1021"/>
    <m/>
  </r>
  <r>
    <s v="ORD201027"/>
    <x v="626"/>
    <s v="C93467"/>
    <x v="5"/>
    <n v="4"/>
    <n v="554.83000000000004"/>
    <s v="983 Main St"/>
    <x v="4"/>
    <x v="2"/>
    <s v="TRK77377373"/>
    <n v="6"/>
    <s v="NO COUPON"/>
    <x v="4"/>
    <x v="1022"/>
    <m/>
  </r>
  <r>
    <s v="ORD201028"/>
    <x v="96"/>
    <s v="C60042"/>
    <x v="6"/>
    <n v="4"/>
    <n v="440.31"/>
    <s v="610 Main St"/>
    <x v="4"/>
    <x v="1"/>
    <s v="TRK84651559"/>
    <n v="6"/>
    <s v="NO COUPON"/>
    <x v="0"/>
    <x v="1023"/>
    <m/>
  </r>
  <r>
    <s v="ORD201029"/>
    <x v="627"/>
    <s v="C44733"/>
    <x v="6"/>
    <n v="1"/>
    <n v="87.06"/>
    <s v="851 Main St"/>
    <x v="2"/>
    <x v="0"/>
    <s v="TRK41500198"/>
    <n v="4"/>
    <s v="FREESHIP"/>
    <x v="2"/>
    <x v="1024"/>
    <m/>
  </r>
  <r>
    <s v="ORD201030"/>
    <x v="276"/>
    <s v="C61773"/>
    <x v="1"/>
    <n v="4"/>
    <n v="245.28"/>
    <s v="176 Main St"/>
    <x v="2"/>
    <x v="3"/>
    <s v="TRK12936357"/>
    <n v="6"/>
    <s v="WINTER15"/>
    <x v="2"/>
    <x v="1025"/>
    <m/>
  </r>
  <r>
    <s v="ORD201031"/>
    <x v="285"/>
    <s v="C59183"/>
    <x v="1"/>
    <n v="5"/>
    <n v="664.51"/>
    <s v="136 Main St"/>
    <x v="0"/>
    <x v="4"/>
    <s v="TRK18129706"/>
    <n v="8"/>
    <s v="SAVE10"/>
    <x v="2"/>
    <x v="1026"/>
    <m/>
  </r>
  <r>
    <s v="ORD201032"/>
    <x v="197"/>
    <s v="C26188"/>
    <x v="3"/>
    <n v="1"/>
    <n v="618.67999999999995"/>
    <s v="990 Main St"/>
    <x v="1"/>
    <x v="3"/>
    <s v="TRK61634201"/>
    <n v="6"/>
    <s v="WINTER15"/>
    <x v="1"/>
    <x v="1027"/>
    <m/>
  </r>
  <r>
    <s v="ORD201033"/>
    <x v="628"/>
    <s v="C20338"/>
    <x v="0"/>
    <n v="1"/>
    <n v="370.85"/>
    <s v="331 Main St"/>
    <x v="3"/>
    <x v="3"/>
    <s v="TRK30654048"/>
    <n v="2"/>
    <s v="FREESHIP"/>
    <x v="1"/>
    <x v="1028"/>
    <m/>
  </r>
  <r>
    <s v="ORD201034"/>
    <x v="452"/>
    <s v="C84524"/>
    <x v="4"/>
    <n v="4"/>
    <n v="517.98"/>
    <s v="766 Main St"/>
    <x v="4"/>
    <x v="1"/>
    <s v="TRK76751888"/>
    <n v="8"/>
    <s v="FREESHIP"/>
    <x v="3"/>
    <x v="1029"/>
    <m/>
  </r>
  <r>
    <s v="ORD201035"/>
    <x v="629"/>
    <s v="C70315"/>
    <x v="5"/>
    <n v="4"/>
    <n v="506.11"/>
    <s v="911 Main St"/>
    <x v="4"/>
    <x v="1"/>
    <s v="TRK97732085"/>
    <n v="5"/>
    <s v="NO COUPON"/>
    <x v="1"/>
    <x v="1030"/>
    <m/>
  </r>
  <r>
    <s v="ORD201036"/>
    <x v="583"/>
    <s v="C98278"/>
    <x v="1"/>
    <n v="3"/>
    <n v="413.83"/>
    <s v="552 Main St"/>
    <x v="3"/>
    <x v="0"/>
    <s v="TRK49684737"/>
    <n v="8"/>
    <s v="SAVE10"/>
    <x v="3"/>
    <x v="1031"/>
    <m/>
  </r>
  <r>
    <s v="ORD201037"/>
    <x v="141"/>
    <s v="C32347"/>
    <x v="4"/>
    <n v="1"/>
    <n v="249.81"/>
    <s v="408 Main St"/>
    <x v="4"/>
    <x v="4"/>
    <s v="TRK54073964"/>
    <n v="1"/>
    <s v="SAVE10"/>
    <x v="4"/>
    <x v="1032"/>
    <m/>
  </r>
  <r>
    <s v="ORD201038"/>
    <x v="175"/>
    <s v="C77961"/>
    <x v="2"/>
    <n v="3"/>
    <n v="362.53"/>
    <s v="422 Main St"/>
    <x v="0"/>
    <x v="2"/>
    <s v="TRK28969024"/>
    <n v="5"/>
    <s v="NO COUPON"/>
    <x v="3"/>
    <x v="1033"/>
    <m/>
  </r>
  <r>
    <s v="ORD201039"/>
    <x v="164"/>
    <s v="C49137"/>
    <x v="6"/>
    <n v="2"/>
    <n v="299.23"/>
    <s v="177 Main St"/>
    <x v="2"/>
    <x v="1"/>
    <s v="TRK79362428"/>
    <n v="2"/>
    <s v="WINTER15"/>
    <x v="0"/>
    <x v="1034"/>
    <m/>
  </r>
  <r>
    <s v="ORD201040"/>
    <x v="375"/>
    <s v="C13169"/>
    <x v="2"/>
    <n v="1"/>
    <n v="536.07000000000005"/>
    <s v="932 Main St"/>
    <x v="0"/>
    <x v="3"/>
    <s v="TRK66288666"/>
    <n v="5"/>
    <s v="FREESHIP"/>
    <x v="4"/>
    <x v="1035"/>
    <m/>
  </r>
  <r>
    <s v="ORD201041"/>
    <x v="91"/>
    <s v="C21167"/>
    <x v="0"/>
    <n v="4"/>
    <n v="558.9"/>
    <s v="948 Main St"/>
    <x v="3"/>
    <x v="0"/>
    <s v="TRK97737564"/>
    <n v="9"/>
    <s v="WINTER15"/>
    <x v="4"/>
    <x v="1036"/>
    <m/>
  </r>
  <r>
    <s v="ORD201042"/>
    <x v="65"/>
    <s v="C59724"/>
    <x v="2"/>
    <n v="2"/>
    <n v="409.75"/>
    <s v="414 Main St"/>
    <x v="0"/>
    <x v="0"/>
    <s v="TRK67878272"/>
    <n v="2"/>
    <s v="WINTER15"/>
    <x v="3"/>
    <x v="1037"/>
    <m/>
  </r>
  <r>
    <s v="ORD201043"/>
    <x v="630"/>
    <s v="C43965"/>
    <x v="2"/>
    <n v="2"/>
    <n v="179.96"/>
    <s v="675 Main St"/>
    <x v="3"/>
    <x v="0"/>
    <s v="TRK94346739"/>
    <n v="5"/>
    <s v="NO COUPON"/>
    <x v="0"/>
    <x v="1038"/>
    <m/>
  </r>
  <r>
    <s v="ORD201044"/>
    <x v="450"/>
    <s v="C63018"/>
    <x v="4"/>
    <n v="1"/>
    <n v="38.49"/>
    <s v="215 Main St"/>
    <x v="2"/>
    <x v="3"/>
    <s v="TRK52335337"/>
    <n v="4"/>
    <s v="FREESHIP"/>
    <x v="1"/>
    <x v="1039"/>
    <m/>
  </r>
  <r>
    <s v="ORD201045"/>
    <x v="28"/>
    <s v="C11893"/>
    <x v="5"/>
    <n v="5"/>
    <n v="316.39999999999998"/>
    <s v="671 Main St"/>
    <x v="3"/>
    <x v="2"/>
    <s v="TRK72012758"/>
    <n v="7"/>
    <s v="NO COUPON"/>
    <x v="2"/>
    <x v="1040"/>
    <m/>
  </r>
  <r>
    <s v="ORD201046"/>
    <x v="550"/>
    <s v="C85421"/>
    <x v="2"/>
    <n v="3"/>
    <n v="547.15"/>
    <s v="466 Main St"/>
    <x v="1"/>
    <x v="0"/>
    <s v="TRK16524006"/>
    <n v="4"/>
    <s v="WINTER15"/>
    <x v="0"/>
    <x v="1041"/>
    <m/>
  </r>
  <r>
    <s v="ORD201047"/>
    <x v="467"/>
    <s v="C81726"/>
    <x v="3"/>
    <n v="4"/>
    <n v="540.34"/>
    <s v="394 Main St"/>
    <x v="3"/>
    <x v="0"/>
    <s v="TRK69872994"/>
    <n v="6"/>
    <s v="WINTER15"/>
    <x v="1"/>
    <x v="1042"/>
    <m/>
  </r>
  <r>
    <s v="ORD201048"/>
    <x v="82"/>
    <s v="C57601"/>
    <x v="0"/>
    <n v="4"/>
    <n v="73.650000000000006"/>
    <s v="889 Main St"/>
    <x v="0"/>
    <x v="0"/>
    <s v="TRK21153699"/>
    <n v="9"/>
    <s v="NO COUPON"/>
    <x v="4"/>
    <x v="1043"/>
    <m/>
  </r>
  <r>
    <s v="ORD201049"/>
    <x v="408"/>
    <s v="C60575"/>
    <x v="6"/>
    <n v="5"/>
    <n v="391.86"/>
    <s v="587 Main St"/>
    <x v="2"/>
    <x v="0"/>
    <s v="TRK44468232"/>
    <n v="6"/>
    <s v="NO COUPON"/>
    <x v="0"/>
    <x v="1044"/>
    <m/>
  </r>
  <r>
    <s v="ORD201050"/>
    <x v="38"/>
    <s v="C70659"/>
    <x v="5"/>
    <n v="5"/>
    <n v="69.7"/>
    <s v="722 Main St"/>
    <x v="1"/>
    <x v="2"/>
    <s v="TRK49663597"/>
    <n v="9"/>
    <s v="NO COUPON"/>
    <x v="0"/>
    <x v="1045"/>
    <m/>
  </r>
  <r>
    <s v="ORD201051"/>
    <x v="376"/>
    <s v="C35043"/>
    <x v="0"/>
    <n v="5"/>
    <n v="26.43"/>
    <s v="820 Main St"/>
    <x v="3"/>
    <x v="0"/>
    <s v="TRK65097450"/>
    <n v="5"/>
    <s v="FREESHIP"/>
    <x v="3"/>
    <x v="1046"/>
    <m/>
  </r>
  <r>
    <s v="ORD201052"/>
    <x v="631"/>
    <s v="C12301"/>
    <x v="2"/>
    <n v="1"/>
    <n v="531.74"/>
    <s v="493 Main St"/>
    <x v="1"/>
    <x v="0"/>
    <s v="TRK25145796"/>
    <n v="1"/>
    <s v="WINTER15"/>
    <x v="4"/>
    <x v="1047"/>
    <m/>
  </r>
  <r>
    <s v="ORD201053"/>
    <x v="632"/>
    <s v="C32798"/>
    <x v="1"/>
    <n v="2"/>
    <n v="496.62"/>
    <s v="679 Main St"/>
    <x v="1"/>
    <x v="4"/>
    <s v="TRK37375451"/>
    <n v="2"/>
    <s v="SAVE10"/>
    <x v="0"/>
    <x v="1048"/>
    <m/>
  </r>
  <r>
    <s v="ORD201054"/>
    <x v="633"/>
    <s v="C42949"/>
    <x v="4"/>
    <n v="1"/>
    <n v="660.66"/>
    <s v="447 Main St"/>
    <x v="0"/>
    <x v="3"/>
    <s v="TRK46415143"/>
    <n v="3"/>
    <s v="WINTER15"/>
    <x v="0"/>
    <x v="1049"/>
    <m/>
  </r>
  <r>
    <s v="ORD201055"/>
    <x v="5"/>
    <s v="C10787"/>
    <x v="0"/>
    <n v="4"/>
    <n v="274.82"/>
    <s v="932 Main St"/>
    <x v="0"/>
    <x v="3"/>
    <s v="TRK91512567"/>
    <n v="9"/>
    <s v="WINTER15"/>
    <x v="2"/>
    <x v="1050"/>
    <m/>
  </r>
  <r>
    <s v="ORD201056"/>
    <x v="280"/>
    <s v="C26152"/>
    <x v="1"/>
    <n v="2"/>
    <n v="486.35"/>
    <s v="790 Main St"/>
    <x v="1"/>
    <x v="4"/>
    <s v="TRK49382455"/>
    <n v="6"/>
    <s v="SAVE10"/>
    <x v="1"/>
    <x v="1051"/>
    <m/>
  </r>
  <r>
    <s v="ORD201057"/>
    <x v="634"/>
    <s v="C46210"/>
    <x v="5"/>
    <n v="3"/>
    <n v="428.88"/>
    <s v="535 Main St"/>
    <x v="0"/>
    <x v="0"/>
    <s v="TRK81611937"/>
    <n v="3"/>
    <s v="WINTER15"/>
    <x v="3"/>
    <x v="1052"/>
    <m/>
  </r>
  <r>
    <s v="ORD201058"/>
    <x v="102"/>
    <s v="C32943"/>
    <x v="6"/>
    <n v="2"/>
    <n v="412.14"/>
    <s v="127 Main St"/>
    <x v="2"/>
    <x v="2"/>
    <s v="TRK26949106"/>
    <n v="2"/>
    <s v="FREESHIP"/>
    <x v="0"/>
    <x v="1053"/>
    <m/>
  </r>
  <r>
    <s v="ORD201059"/>
    <x v="491"/>
    <s v="C73629"/>
    <x v="6"/>
    <n v="1"/>
    <n v="265.64"/>
    <s v="601 Main St"/>
    <x v="2"/>
    <x v="2"/>
    <s v="TRK11492924"/>
    <n v="3"/>
    <s v="WINTER15"/>
    <x v="0"/>
    <x v="1054"/>
    <m/>
  </r>
  <r>
    <s v="ORD201060"/>
    <x v="635"/>
    <s v="C38024"/>
    <x v="2"/>
    <n v="2"/>
    <n v="273.43"/>
    <s v="824 Main St"/>
    <x v="4"/>
    <x v="0"/>
    <s v="TRK93370912"/>
    <n v="7"/>
    <s v="WINTER15"/>
    <x v="1"/>
    <x v="1055"/>
    <m/>
  </r>
  <r>
    <s v="ORD201061"/>
    <x v="636"/>
    <s v="C25445"/>
    <x v="5"/>
    <n v="5"/>
    <n v="131.69999999999999"/>
    <s v="830 Main St"/>
    <x v="4"/>
    <x v="0"/>
    <s v="TRK12402431"/>
    <n v="8"/>
    <s v="FREESHIP"/>
    <x v="4"/>
    <x v="1056"/>
    <m/>
  </r>
  <r>
    <s v="ORD201062"/>
    <x v="421"/>
    <s v="C13501"/>
    <x v="3"/>
    <n v="5"/>
    <n v="85.52"/>
    <s v="301 Main St"/>
    <x v="3"/>
    <x v="1"/>
    <s v="TRK65149372"/>
    <n v="5"/>
    <s v="NO COUPON"/>
    <x v="3"/>
    <x v="1057"/>
    <m/>
  </r>
  <r>
    <s v="ORD201063"/>
    <x v="83"/>
    <s v="C42108"/>
    <x v="6"/>
    <n v="2"/>
    <n v="320.68"/>
    <s v="336 Main St"/>
    <x v="2"/>
    <x v="0"/>
    <s v="TRK58407918"/>
    <n v="5"/>
    <s v="FREESHIP"/>
    <x v="1"/>
    <x v="1058"/>
    <m/>
  </r>
  <r>
    <s v="ORD201064"/>
    <x v="637"/>
    <s v="C32121"/>
    <x v="5"/>
    <n v="4"/>
    <n v="198.81"/>
    <s v="654 Main St"/>
    <x v="4"/>
    <x v="2"/>
    <s v="TRK96074264"/>
    <n v="9"/>
    <s v="FREESHIP"/>
    <x v="1"/>
    <x v="1059"/>
    <m/>
  </r>
  <r>
    <s v="ORD201065"/>
    <x v="638"/>
    <s v="C47778"/>
    <x v="4"/>
    <n v="5"/>
    <n v="666.8"/>
    <s v="488 Main St"/>
    <x v="0"/>
    <x v="3"/>
    <s v="TRK79504329"/>
    <n v="7"/>
    <s v="SAVE10"/>
    <x v="1"/>
    <x v="1060"/>
    <m/>
  </r>
  <r>
    <s v="ORD201066"/>
    <x v="639"/>
    <s v="C10791"/>
    <x v="6"/>
    <n v="1"/>
    <n v="355.09"/>
    <s v="674 Main St"/>
    <x v="0"/>
    <x v="1"/>
    <s v="TRK20321248"/>
    <n v="5"/>
    <s v="SAVE10"/>
    <x v="0"/>
    <x v="1061"/>
    <m/>
  </r>
  <r>
    <s v="ORD201067"/>
    <x v="640"/>
    <s v="C78959"/>
    <x v="1"/>
    <n v="2"/>
    <n v="316.2"/>
    <s v="384 Main St"/>
    <x v="1"/>
    <x v="2"/>
    <s v="TRK37426359"/>
    <n v="2"/>
    <s v="NO COUPON"/>
    <x v="0"/>
    <x v="1062"/>
    <m/>
  </r>
  <r>
    <s v="ORD201068"/>
    <x v="240"/>
    <s v="C29914"/>
    <x v="5"/>
    <n v="1"/>
    <n v="133.38999999999999"/>
    <s v="469 Main St"/>
    <x v="0"/>
    <x v="0"/>
    <s v="TRK22073506"/>
    <n v="2"/>
    <s v="SAVE10"/>
    <x v="1"/>
    <x v="1063"/>
    <m/>
  </r>
  <r>
    <s v="ORD201069"/>
    <x v="641"/>
    <s v="C70506"/>
    <x v="0"/>
    <n v="1"/>
    <n v="454.23"/>
    <s v="255 Main St"/>
    <x v="3"/>
    <x v="2"/>
    <s v="TRK12518384"/>
    <n v="3"/>
    <s v="NO COUPON"/>
    <x v="3"/>
    <x v="1064"/>
    <m/>
  </r>
  <r>
    <s v="ORD201070"/>
    <x v="605"/>
    <s v="C46873"/>
    <x v="6"/>
    <n v="4"/>
    <n v="491.29"/>
    <s v="496 Main St"/>
    <x v="0"/>
    <x v="4"/>
    <s v="TRK10926575"/>
    <n v="6"/>
    <s v="NO COUPON"/>
    <x v="2"/>
    <x v="1065"/>
    <m/>
  </r>
  <r>
    <s v="ORD201071"/>
    <x v="53"/>
    <s v="C94037"/>
    <x v="1"/>
    <n v="2"/>
    <n v="255.14"/>
    <s v="216 Main St"/>
    <x v="4"/>
    <x v="0"/>
    <s v="TRK47536985"/>
    <n v="2"/>
    <s v="NO COUPON"/>
    <x v="4"/>
    <x v="1066"/>
    <m/>
  </r>
  <r>
    <s v="ORD201072"/>
    <x v="297"/>
    <s v="C88644"/>
    <x v="0"/>
    <n v="1"/>
    <n v="392.61"/>
    <s v="977 Main St"/>
    <x v="3"/>
    <x v="1"/>
    <s v="TRK14900878"/>
    <n v="4"/>
    <s v="SAVE10"/>
    <x v="1"/>
    <x v="1067"/>
    <m/>
  </r>
  <r>
    <s v="ORD201073"/>
    <x v="642"/>
    <s v="C69471"/>
    <x v="2"/>
    <n v="4"/>
    <n v="362.06"/>
    <s v="294 Main St"/>
    <x v="0"/>
    <x v="2"/>
    <s v="TRK11107152"/>
    <n v="4"/>
    <s v="NO COUPON"/>
    <x v="3"/>
    <x v="1068"/>
    <m/>
  </r>
  <r>
    <s v="ORD201074"/>
    <x v="451"/>
    <s v="C21437"/>
    <x v="1"/>
    <n v="1"/>
    <n v="222.73"/>
    <s v="120 Main St"/>
    <x v="1"/>
    <x v="2"/>
    <s v="TRK81624772"/>
    <n v="4"/>
    <s v="NO COUPON"/>
    <x v="4"/>
    <x v="1069"/>
    <m/>
  </r>
  <r>
    <s v="ORD201075"/>
    <x v="169"/>
    <s v="C40949"/>
    <x v="0"/>
    <n v="2"/>
    <n v="552.63"/>
    <s v="609 Main St"/>
    <x v="0"/>
    <x v="3"/>
    <s v="TRK43066749"/>
    <n v="7"/>
    <s v="WINTER15"/>
    <x v="0"/>
    <x v="1070"/>
    <m/>
  </r>
  <r>
    <s v="ORD201076"/>
    <x v="20"/>
    <s v="C99116"/>
    <x v="5"/>
    <n v="4"/>
    <n v="686.61"/>
    <s v="176 Main St"/>
    <x v="4"/>
    <x v="0"/>
    <s v="TRK52711973"/>
    <n v="6"/>
    <s v="NO COUPON"/>
    <x v="1"/>
    <x v="1071"/>
    <m/>
  </r>
  <r>
    <s v="ORD201077"/>
    <x v="456"/>
    <s v="C57861"/>
    <x v="4"/>
    <n v="3"/>
    <n v="305.16000000000003"/>
    <s v="115 Main St"/>
    <x v="2"/>
    <x v="1"/>
    <s v="TRK47775217"/>
    <n v="8"/>
    <s v="SAVE10"/>
    <x v="1"/>
    <x v="1072"/>
    <m/>
  </r>
  <r>
    <s v="ORD201078"/>
    <x v="168"/>
    <s v="C62627"/>
    <x v="6"/>
    <n v="1"/>
    <n v="41.09"/>
    <s v="881 Main St"/>
    <x v="1"/>
    <x v="2"/>
    <s v="TRK90060232"/>
    <n v="4"/>
    <s v="WINTER15"/>
    <x v="2"/>
    <x v="1073"/>
    <m/>
  </r>
  <r>
    <s v="ORD201079"/>
    <x v="643"/>
    <s v="C89979"/>
    <x v="1"/>
    <n v="5"/>
    <n v="634"/>
    <s v="144 Main St"/>
    <x v="3"/>
    <x v="3"/>
    <s v="TRK99055909"/>
    <n v="8"/>
    <s v="NO COUPON"/>
    <x v="2"/>
    <x v="1074"/>
    <m/>
  </r>
  <r>
    <s v="ORD201080"/>
    <x v="325"/>
    <s v="C70613"/>
    <x v="5"/>
    <n v="5"/>
    <n v="464.74"/>
    <s v="438 Main St"/>
    <x v="3"/>
    <x v="3"/>
    <s v="TRK33140293"/>
    <n v="7"/>
    <s v="NO COUPON"/>
    <x v="1"/>
    <x v="1075"/>
    <m/>
  </r>
  <r>
    <s v="ORD201081"/>
    <x v="453"/>
    <s v="C55636"/>
    <x v="0"/>
    <n v="4"/>
    <n v="425.6"/>
    <s v="494 Main St"/>
    <x v="2"/>
    <x v="4"/>
    <s v="TRK85897054"/>
    <n v="5"/>
    <s v="FREESHIP"/>
    <x v="4"/>
    <x v="1076"/>
    <m/>
  </r>
  <r>
    <s v="ORD201082"/>
    <x v="426"/>
    <s v="C96595"/>
    <x v="3"/>
    <n v="3"/>
    <n v="573.22"/>
    <s v="177 Main St"/>
    <x v="0"/>
    <x v="4"/>
    <s v="TRK59779174"/>
    <n v="5"/>
    <s v="SAVE10"/>
    <x v="2"/>
    <x v="1077"/>
    <m/>
  </r>
  <r>
    <s v="ORD201083"/>
    <x v="644"/>
    <s v="C68508"/>
    <x v="3"/>
    <n v="1"/>
    <n v="123.28"/>
    <s v="895 Main St"/>
    <x v="2"/>
    <x v="3"/>
    <s v="TRK98960285"/>
    <n v="3"/>
    <s v="SAVE10"/>
    <x v="2"/>
    <x v="1078"/>
    <m/>
  </r>
  <r>
    <s v="ORD201084"/>
    <x v="124"/>
    <s v="C45175"/>
    <x v="1"/>
    <n v="1"/>
    <n v="70.819999999999993"/>
    <s v="128 Main St"/>
    <x v="3"/>
    <x v="4"/>
    <s v="TRK41792296"/>
    <n v="1"/>
    <s v="WINTER15"/>
    <x v="0"/>
    <x v="1079"/>
    <m/>
  </r>
  <r>
    <s v="ORD201085"/>
    <x v="54"/>
    <s v="C28049"/>
    <x v="4"/>
    <n v="2"/>
    <n v="646.69000000000005"/>
    <s v="404 Main St"/>
    <x v="0"/>
    <x v="0"/>
    <s v="TRK91426444"/>
    <n v="7"/>
    <s v="WINTER15"/>
    <x v="0"/>
    <x v="1080"/>
    <m/>
  </r>
  <r>
    <s v="ORD201086"/>
    <x v="475"/>
    <s v="C46967"/>
    <x v="2"/>
    <n v="2"/>
    <n v="513.41999999999996"/>
    <s v="401 Main St"/>
    <x v="1"/>
    <x v="4"/>
    <s v="TRK91439791"/>
    <n v="5"/>
    <s v="WINTER15"/>
    <x v="0"/>
    <x v="1081"/>
    <m/>
  </r>
  <r>
    <s v="ORD201087"/>
    <x v="411"/>
    <s v="C84134"/>
    <x v="5"/>
    <n v="4"/>
    <n v="693.07"/>
    <s v="530 Main St"/>
    <x v="1"/>
    <x v="0"/>
    <s v="TRK48659380"/>
    <n v="8"/>
    <s v="SAVE10"/>
    <x v="0"/>
    <x v="1082"/>
    <m/>
  </r>
  <r>
    <s v="ORD201088"/>
    <x v="115"/>
    <s v="C49831"/>
    <x v="6"/>
    <n v="3"/>
    <n v="491.43"/>
    <s v="213 Main St"/>
    <x v="3"/>
    <x v="0"/>
    <s v="TRK21232601"/>
    <n v="6"/>
    <s v="WINTER15"/>
    <x v="0"/>
    <x v="1083"/>
    <m/>
  </r>
  <r>
    <s v="ORD201089"/>
    <x v="175"/>
    <s v="C13324"/>
    <x v="2"/>
    <n v="2"/>
    <n v="599.74"/>
    <s v="440 Main St"/>
    <x v="3"/>
    <x v="0"/>
    <s v="TRK66967997"/>
    <n v="2"/>
    <s v="NO COUPON"/>
    <x v="0"/>
    <x v="1084"/>
    <m/>
  </r>
  <r>
    <s v="ORD201090"/>
    <x v="641"/>
    <s v="C61225"/>
    <x v="0"/>
    <n v="2"/>
    <n v="650.25"/>
    <s v="996 Main St"/>
    <x v="3"/>
    <x v="2"/>
    <s v="TRK37022954"/>
    <n v="6"/>
    <s v="NO COUPON"/>
    <x v="0"/>
    <x v="1085"/>
    <m/>
  </r>
  <r>
    <s v="ORD201091"/>
    <x v="192"/>
    <s v="C16400"/>
    <x v="5"/>
    <n v="3"/>
    <n v="209.48"/>
    <s v="123 Main St"/>
    <x v="0"/>
    <x v="4"/>
    <s v="TRK57771859"/>
    <n v="4"/>
    <s v="NO COUPON"/>
    <x v="2"/>
    <x v="1086"/>
    <m/>
  </r>
  <r>
    <s v="ORD201092"/>
    <x v="531"/>
    <s v="C38642"/>
    <x v="5"/>
    <n v="5"/>
    <n v="209.2"/>
    <s v="930 Main St"/>
    <x v="0"/>
    <x v="3"/>
    <s v="TRK47744396"/>
    <n v="6"/>
    <s v="WINTER15"/>
    <x v="2"/>
    <x v="1087"/>
    <m/>
  </r>
  <r>
    <s v="ORD201093"/>
    <x v="308"/>
    <s v="C86773"/>
    <x v="1"/>
    <n v="4"/>
    <n v="197.36"/>
    <s v="557 Main St"/>
    <x v="3"/>
    <x v="2"/>
    <s v="TRK22612240"/>
    <n v="9"/>
    <s v="FREESHIP"/>
    <x v="0"/>
    <x v="1088"/>
    <m/>
  </r>
  <r>
    <s v="ORD201094"/>
    <x v="342"/>
    <s v="C66093"/>
    <x v="4"/>
    <n v="4"/>
    <n v="648.91"/>
    <s v="615 Main St"/>
    <x v="2"/>
    <x v="0"/>
    <s v="TRK54950785"/>
    <n v="6"/>
    <s v="SAVE10"/>
    <x v="0"/>
    <x v="1089"/>
    <m/>
  </r>
  <r>
    <s v="ORD201095"/>
    <x v="234"/>
    <s v="C33051"/>
    <x v="1"/>
    <n v="2"/>
    <n v="441.54"/>
    <s v="397 Main St"/>
    <x v="1"/>
    <x v="3"/>
    <s v="TRK92929755"/>
    <n v="2"/>
    <s v="SAVE10"/>
    <x v="2"/>
    <x v="1090"/>
    <m/>
  </r>
  <r>
    <s v="ORD201096"/>
    <x v="120"/>
    <s v="C18169"/>
    <x v="2"/>
    <n v="2"/>
    <n v="464.92"/>
    <s v="782 Main St"/>
    <x v="0"/>
    <x v="2"/>
    <s v="TRK49482923"/>
    <n v="2"/>
    <s v="NO COUPON"/>
    <x v="3"/>
    <x v="1091"/>
    <m/>
  </r>
  <r>
    <s v="ORD201097"/>
    <x v="645"/>
    <s v="C81370"/>
    <x v="0"/>
    <n v="5"/>
    <n v="506.45"/>
    <s v="344 Main St"/>
    <x v="3"/>
    <x v="0"/>
    <s v="TRK99682998"/>
    <n v="7"/>
    <s v="WINTER15"/>
    <x v="4"/>
    <x v="1092"/>
    <m/>
  </r>
  <r>
    <s v="ORD201098"/>
    <x v="646"/>
    <s v="C91103"/>
    <x v="0"/>
    <n v="4"/>
    <n v="255.86"/>
    <s v="155 Main St"/>
    <x v="2"/>
    <x v="3"/>
    <s v="TRK91653000"/>
    <n v="7"/>
    <s v="NO COUPON"/>
    <x v="2"/>
    <x v="1093"/>
    <m/>
  </r>
  <r>
    <s v="ORD201099"/>
    <x v="556"/>
    <s v="C21953"/>
    <x v="5"/>
    <n v="2"/>
    <n v="125.23"/>
    <s v="272 Main St"/>
    <x v="4"/>
    <x v="1"/>
    <s v="TRK60774796"/>
    <n v="3"/>
    <s v="FREESHIP"/>
    <x v="2"/>
    <x v="1094"/>
    <m/>
  </r>
  <r>
    <s v="ORD201100"/>
    <x v="538"/>
    <s v="C15146"/>
    <x v="5"/>
    <n v="5"/>
    <n v="38.11"/>
    <s v="428 Main St"/>
    <x v="0"/>
    <x v="1"/>
    <s v="TRK79790530"/>
    <n v="6"/>
    <s v="WINTER15"/>
    <x v="0"/>
    <x v="1095"/>
    <m/>
  </r>
  <r>
    <s v="ORD201101"/>
    <x v="647"/>
    <s v="C43546"/>
    <x v="0"/>
    <n v="3"/>
    <n v="161.97"/>
    <s v="904 Main St"/>
    <x v="4"/>
    <x v="4"/>
    <s v="TRK85871121"/>
    <n v="4"/>
    <s v="SAVE10"/>
    <x v="2"/>
    <x v="1096"/>
    <m/>
  </r>
  <r>
    <s v="ORD201102"/>
    <x v="561"/>
    <s v="C98474"/>
    <x v="3"/>
    <n v="4"/>
    <n v="347.17"/>
    <s v="997 Main St"/>
    <x v="0"/>
    <x v="0"/>
    <s v="TRK86192984"/>
    <n v="8"/>
    <s v="NO COUPON"/>
    <x v="0"/>
    <x v="1097"/>
    <m/>
  </r>
  <r>
    <s v="ORD201103"/>
    <x v="648"/>
    <s v="C90292"/>
    <x v="5"/>
    <n v="4"/>
    <n v="276.32"/>
    <s v="129 Main St"/>
    <x v="1"/>
    <x v="3"/>
    <s v="TRK26270357"/>
    <n v="5"/>
    <s v="NO COUPON"/>
    <x v="4"/>
    <x v="1098"/>
    <m/>
  </r>
  <r>
    <s v="ORD201104"/>
    <x v="568"/>
    <s v="C17075"/>
    <x v="2"/>
    <n v="4"/>
    <n v="314.76"/>
    <s v="850 Main St"/>
    <x v="1"/>
    <x v="0"/>
    <s v="TRK63547510"/>
    <n v="8"/>
    <s v="NO COUPON"/>
    <x v="0"/>
    <x v="1099"/>
    <m/>
  </r>
  <r>
    <s v="ORD201105"/>
    <x v="649"/>
    <s v="C12487"/>
    <x v="2"/>
    <n v="3"/>
    <n v="475.69"/>
    <s v="884 Main St"/>
    <x v="3"/>
    <x v="1"/>
    <s v="TRK23324770"/>
    <n v="3"/>
    <s v="FREESHIP"/>
    <x v="4"/>
    <x v="1100"/>
    <m/>
  </r>
  <r>
    <s v="ORD201106"/>
    <x v="255"/>
    <s v="C34555"/>
    <x v="3"/>
    <n v="1"/>
    <n v="372.8"/>
    <s v="903 Main St"/>
    <x v="4"/>
    <x v="1"/>
    <s v="TRK72859458"/>
    <n v="6"/>
    <s v="SAVE10"/>
    <x v="3"/>
    <x v="1101"/>
    <m/>
  </r>
  <r>
    <s v="ORD201107"/>
    <x v="233"/>
    <s v="C25110"/>
    <x v="2"/>
    <n v="2"/>
    <n v="63.21"/>
    <s v="282 Main St"/>
    <x v="1"/>
    <x v="1"/>
    <s v="TRK80963328"/>
    <n v="4"/>
    <s v="SAVE10"/>
    <x v="4"/>
    <x v="1102"/>
    <m/>
  </r>
  <r>
    <s v="ORD201108"/>
    <x v="650"/>
    <s v="C35136"/>
    <x v="5"/>
    <n v="1"/>
    <n v="634.94000000000005"/>
    <s v="462 Main St"/>
    <x v="1"/>
    <x v="1"/>
    <s v="TRK49753703"/>
    <n v="5"/>
    <s v="WINTER15"/>
    <x v="0"/>
    <x v="1103"/>
    <m/>
  </r>
  <r>
    <s v="ORD201109"/>
    <x v="651"/>
    <s v="C62277"/>
    <x v="4"/>
    <n v="4"/>
    <n v="77.47"/>
    <s v="474 Main St"/>
    <x v="3"/>
    <x v="2"/>
    <s v="TRK32026174"/>
    <n v="7"/>
    <s v="SAVE10"/>
    <x v="0"/>
    <x v="1104"/>
    <m/>
  </r>
  <r>
    <s v="ORD201110"/>
    <x v="402"/>
    <s v="C12472"/>
    <x v="3"/>
    <n v="3"/>
    <n v="84.31"/>
    <s v="912 Main St"/>
    <x v="2"/>
    <x v="0"/>
    <s v="TRK36103184"/>
    <n v="3"/>
    <s v="SAVE10"/>
    <x v="2"/>
    <x v="1105"/>
    <m/>
  </r>
  <r>
    <s v="ORD201111"/>
    <x v="306"/>
    <s v="C24047"/>
    <x v="0"/>
    <n v="4"/>
    <n v="234.45"/>
    <s v="362 Main St"/>
    <x v="1"/>
    <x v="1"/>
    <s v="TRK91338580"/>
    <n v="9"/>
    <s v="FREESHIP"/>
    <x v="0"/>
    <x v="1106"/>
    <m/>
  </r>
  <r>
    <s v="ORD201112"/>
    <x v="652"/>
    <s v="C76929"/>
    <x v="6"/>
    <n v="1"/>
    <n v="356.81"/>
    <s v="563 Main St"/>
    <x v="1"/>
    <x v="3"/>
    <s v="TRK80694400"/>
    <n v="1"/>
    <s v="WINTER15"/>
    <x v="0"/>
    <x v="1107"/>
    <m/>
  </r>
  <r>
    <s v="ORD201113"/>
    <x v="111"/>
    <s v="C52914"/>
    <x v="6"/>
    <n v="4"/>
    <n v="209.99"/>
    <s v="168 Main St"/>
    <x v="4"/>
    <x v="3"/>
    <s v="TRK80819053"/>
    <n v="8"/>
    <s v="NO COUPON"/>
    <x v="4"/>
    <x v="1108"/>
    <m/>
  </r>
  <r>
    <s v="ORD201114"/>
    <x v="653"/>
    <s v="C55164"/>
    <x v="2"/>
    <n v="3"/>
    <n v="659.88"/>
    <s v="609 Main St"/>
    <x v="3"/>
    <x v="1"/>
    <s v="TRK79610967"/>
    <n v="3"/>
    <s v="NO COUPON"/>
    <x v="4"/>
    <x v="1109"/>
    <m/>
  </r>
  <r>
    <s v="ORD201115"/>
    <x v="126"/>
    <s v="C70426"/>
    <x v="5"/>
    <n v="2"/>
    <n v="336.32"/>
    <s v="562 Main St"/>
    <x v="1"/>
    <x v="2"/>
    <s v="TRK89687816"/>
    <n v="3"/>
    <s v="NO COUPON"/>
    <x v="4"/>
    <x v="1110"/>
    <m/>
  </r>
  <r>
    <s v="ORD201116"/>
    <x v="612"/>
    <s v="C69149"/>
    <x v="4"/>
    <n v="2"/>
    <n v="531.49"/>
    <s v="562 Main St"/>
    <x v="2"/>
    <x v="3"/>
    <s v="TRK61265132"/>
    <n v="7"/>
    <s v="WINTER15"/>
    <x v="3"/>
    <x v="1111"/>
    <m/>
  </r>
  <r>
    <s v="ORD201117"/>
    <x v="199"/>
    <s v="C78684"/>
    <x v="3"/>
    <n v="3"/>
    <n v="588.44000000000005"/>
    <s v="858 Main St"/>
    <x v="3"/>
    <x v="0"/>
    <s v="TRK95779073"/>
    <n v="8"/>
    <s v="WINTER15"/>
    <x v="4"/>
    <x v="1112"/>
    <m/>
  </r>
  <r>
    <s v="ORD201118"/>
    <x v="75"/>
    <s v="C58168"/>
    <x v="1"/>
    <n v="3"/>
    <n v="251.48"/>
    <s v="359 Main St"/>
    <x v="2"/>
    <x v="2"/>
    <s v="TRK99102265"/>
    <n v="4"/>
    <s v="NO COUPON"/>
    <x v="2"/>
    <x v="1113"/>
    <m/>
  </r>
  <r>
    <s v="ORD201119"/>
    <x v="167"/>
    <s v="C99024"/>
    <x v="5"/>
    <n v="1"/>
    <n v="684.65"/>
    <s v="250 Main St"/>
    <x v="2"/>
    <x v="3"/>
    <s v="TRK24675988"/>
    <n v="1"/>
    <s v="FREESHIP"/>
    <x v="2"/>
    <x v="1114"/>
    <m/>
  </r>
  <r>
    <s v="ORD201120"/>
    <x v="400"/>
    <s v="C22919"/>
    <x v="2"/>
    <n v="1"/>
    <n v="195.86"/>
    <s v="267 Main St"/>
    <x v="1"/>
    <x v="4"/>
    <s v="TRK82416295"/>
    <n v="3"/>
    <s v="NO COUPON"/>
    <x v="3"/>
    <x v="1115"/>
    <m/>
  </r>
  <r>
    <s v="ORD201121"/>
    <x v="654"/>
    <s v="C98354"/>
    <x v="1"/>
    <n v="3"/>
    <n v="50.34"/>
    <s v="393 Main St"/>
    <x v="3"/>
    <x v="2"/>
    <s v="TRK43070888"/>
    <n v="3"/>
    <s v="FREESHIP"/>
    <x v="0"/>
    <x v="1116"/>
    <m/>
  </r>
  <r>
    <s v="ORD201122"/>
    <x v="323"/>
    <s v="C38840"/>
    <x v="0"/>
    <n v="5"/>
    <n v="678.19"/>
    <s v="766 Main St"/>
    <x v="1"/>
    <x v="2"/>
    <s v="TRK32496970"/>
    <n v="8"/>
    <s v="NO COUPON"/>
    <x v="3"/>
    <x v="1117"/>
    <m/>
  </r>
  <r>
    <s v="ORD201123"/>
    <x v="655"/>
    <s v="C68936"/>
    <x v="2"/>
    <n v="3"/>
    <n v="554.25"/>
    <s v="843 Main St"/>
    <x v="0"/>
    <x v="0"/>
    <s v="TRK73163634"/>
    <n v="6"/>
    <s v="WINTER15"/>
    <x v="1"/>
    <x v="1118"/>
    <m/>
  </r>
  <r>
    <s v="ORD201124"/>
    <x v="221"/>
    <s v="C33744"/>
    <x v="3"/>
    <n v="4"/>
    <n v="576.87"/>
    <s v="888 Main St"/>
    <x v="3"/>
    <x v="2"/>
    <s v="TRK40245983"/>
    <n v="5"/>
    <s v="NO COUPON"/>
    <x v="0"/>
    <x v="1119"/>
    <m/>
  </r>
  <r>
    <s v="ORD201125"/>
    <x v="504"/>
    <s v="C23555"/>
    <x v="6"/>
    <n v="4"/>
    <n v="408.36"/>
    <s v="156 Main St"/>
    <x v="3"/>
    <x v="1"/>
    <s v="TRK67210247"/>
    <n v="4"/>
    <s v="FREESHIP"/>
    <x v="1"/>
    <x v="1120"/>
    <m/>
  </r>
  <r>
    <s v="ORD201126"/>
    <x v="319"/>
    <s v="C34337"/>
    <x v="1"/>
    <n v="5"/>
    <n v="190.11"/>
    <s v="325 Main St"/>
    <x v="4"/>
    <x v="3"/>
    <s v="TRK36195559"/>
    <n v="7"/>
    <s v="SAVE10"/>
    <x v="4"/>
    <x v="1121"/>
    <m/>
  </r>
  <r>
    <s v="ORD201127"/>
    <x v="175"/>
    <s v="C69396"/>
    <x v="4"/>
    <n v="3"/>
    <n v="602.75"/>
    <s v="920 Main St"/>
    <x v="2"/>
    <x v="0"/>
    <s v="TRK33155049"/>
    <n v="6"/>
    <s v="SAVE10"/>
    <x v="2"/>
    <x v="1122"/>
    <m/>
  </r>
  <r>
    <s v="ORD201128"/>
    <x v="538"/>
    <s v="C49198"/>
    <x v="0"/>
    <n v="3"/>
    <n v="646.79"/>
    <s v="447 Main St"/>
    <x v="4"/>
    <x v="1"/>
    <s v="TRK10883354"/>
    <n v="5"/>
    <s v="WINTER15"/>
    <x v="4"/>
    <x v="1123"/>
    <m/>
  </r>
  <r>
    <s v="ORD201129"/>
    <x v="236"/>
    <s v="C43911"/>
    <x v="3"/>
    <n v="4"/>
    <n v="418.71"/>
    <s v="239 Main St"/>
    <x v="4"/>
    <x v="4"/>
    <s v="TRK37495481"/>
    <n v="8"/>
    <s v="FREESHIP"/>
    <x v="0"/>
    <x v="1124"/>
    <m/>
  </r>
  <r>
    <s v="ORD201130"/>
    <x v="656"/>
    <s v="C24347"/>
    <x v="5"/>
    <n v="2"/>
    <n v="323.45"/>
    <s v="533 Main St"/>
    <x v="2"/>
    <x v="2"/>
    <s v="TRK27233265"/>
    <n v="5"/>
    <s v="FREESHIP"/>
    <x v="0"/>
    <x v="1125"/>
    <m/>
  </r>
  <r>
    <s v="ORD201131"/>
    <x v="408"/>
    <s v="C21043"/>
    <x v="1"/>
    <n v="1"/>
    <n v="694.5"/>
    <s v="195 Main St"/>
    <x v="2"/>
    <x v="4"/>
    <s v="TRK41691086"/>
    <n v="3"/>
    <s v="WINTER15"/>
    <x v="3"/>
    <x v="1126"/>
    <m/>
  </r>
  <r>
    <s v="ORD201132"/>
    <x v="657"/>
    <s v="C58858"/>
    <x v="3"/>
    <n v="2"/>
    <n v="337.32"/>
    <s v="948 Main St"/>
    <x v="2"/>
    <x v="1"/>
    <s v="TRK30406357"/>
    <n v="4"/>
    <s v="SAVE10"/>
    <x v="2"/>
    <x v="1127"/>
    <m/>
  </r>
  <r>
    <s v="ORD201133"/>
    <x v="398"/>
    <s v="C20670"/>
    <x v="4"/>
    <n v="2"/>
    <n v="467.91"/>
    <s v="432 Main St"/>
    <x v="3"/>
    <x v="2"/>
    <s v="TRK76731303"/>
    <n v="5"/>
    <s v="WINTER15"/>
    <x v="3"/>
    <x v="1128"/>
    <m/>
  </r>
  <r>
    <s v="ORD201134"/>
    <x v="180"/>
    <s v="C90993"/>
    <x v="6"/>
    <n v="4"/>
    <n v="38.28"/>
    <s v="950 Main St"/>
    <x v="0"/>
    <x v="1"/>
    <s v="TRK53964711"/>
    <n v="4"/>
    <s v="WINTER15"/>
    <x v="3"/>
    <x v="1129"/>
    <m/>
  </r>
  <r>
    <s v="ORD201135"/>
    <x v="153"/>
    <s v="C11473"/>
    <x v="4"/>
    <n v="2"/>
    <n v="73.41"/>
    <s v="562 Main St"/>
    <x v="1"/>
    <x v="0"/>
    <s v="TRK97793275"/>
    <n v="2"/>
    <s v="SAVE10"/>
    <x v="4"/>
    <x v="1130"/>
    <m/>
  </r>
  <r>
    <s v="ORD201136"/>
    <x v="463"/>
    <s v="C71899"/>
    <x v="2"/>
    <n v="3"/>
    <n v="668.33"/>
    <s v="799 Main St"/>
    <x v="3"/>
    <x v="4"/>
    <s v="TRK34856025"/>
    <n v="4"/>
    <s v="WINTER15"/>
    <x v="3"/>
    <x v="1131"/>
    <m/>
  </r>
  <r>
    <s v="ORD201137"/>
    <x v="511"/>
    <s v="C48577"/>
    <x v="4"/>
    <n v="4"/>
    <n v="410.21"/>
    <s v="841 Main St"/>
    <x v="4"/>
    <x v="4"/>
    <s v="TRK59911645"/>
    <n v="5"/>
    <s v="WINTER15"/>
    <x v="0"/>
    <x v="1132"/>
    <m/>
  </r>
  <r>
    <s v="ORD201138"/>
    <x v="552"/>
    <s v="C13100"/>
    <x v="6"/>
    <n v="4"/>
    <n v="294.41000000000003"/>
    <s v="188 Main St"/>
    <x v="0"/>
    <x v="4"/>
    <s v="TRK55565668"/>
    <n v="4"/>
    <s v="NO COUPON"/>
    <x v="0"/>
    <x v="1133"/>
    <m/>
  </r>
  <r>
    <s v="ORD201139"/>
    <x v="627"/>
    <s v="C70659"/>
    <x v="3"/>
    <n v="3"/>
    <n v="501.82"/>
    <s v="568 Main St"/>
    <x v="3"/>
    <x v="1"/>
    <s v="TRK28290825"/>
    <n v="4"/>
    <s v="FREESHIP"/>
    <x v="2"/>
    <x v="1134"/>
    <m/>
  </r>
  <r>
    <s v="ORD201140"/>
    <x v="658"/>
    <s v="C49838"/>
    <x v="4"/>
    <n v="2"/>
    <n v="552.83000000000004"/>
    <s v="904 Main St"/>
    <x v="2"/>
    <x v="1"/>
    <s v="TRK38297718"/>
    <n v="3"/>
    <s v="NO COUPON"/>
    <x v="1"/>
    <x v="1135"/>
    <m/>
  </r>
  <r>
    <s v="ORD201141"/>
    <x v="656"/>
    <s v="C11998"/>
    <x v="3"/>
    <n v="3"/>
    <n v="498.66"/>
    <s v="382 Main St"/>
    <x v="4"/>
    <x v="1"/>
    <s v="TRK26707221"/>
    <n v="6"/>
    <s v="NO COUPON"/>
    <x v="2"/>
    <x v="1136"/>
    <m/>
  </r>
  <r>
    <s v="ORD201142"/>
    <x v="1"/>
    <s v="C23405"/>
    <x v="1"/>
    <n v="4"/>
    <n v="695.1"/>
    <s v="484 Main St"/>
    <x v="0"/>
    <x v="2"/>
    <s v="TRK83678708"/>
    <n v="8"/>
    <s v="NO COUPON"/>
    <x v="2"/>
    <x v="1137"/>
    <m/>
  </r>
  <r>
    <s v="ORD201143"/>
    <x v="659"/>
    <s v="C41132"/>
    <x v="3"/>
    <n v="1"/>
    <n v="381.61"/>
    <s v="114 Main St"/>
    <x v="0"/>
    <x v="4"/>
    <s v="TRK51040137"/>
    <n v="5"/>
    <s v="NO COUPON"/>
    <x v="2"/>
    <x v="1138"/>
    <m/>
  </r>
  <r>
    <s v="ORD201144"/>
    <x v="223"/>
    <s v="C88463"/>
    <x v="6"/>
    <n v="5"/>
    <n v="507.94"/>
    <s v="292 Main St"/>
    <x v="1"/>
    <x v="1"/>
    <s v="TRK88749996"/>
    <n v="9"/>
    <s v="NO COUPON"/>
    <x v="3"/>
    <x v="1139"/>
    <m/>
  </r>
  <r>
    <s v="ORD201145"/>
    <x v="275"/>
    <s v="C28152"/>
    <x v="6"/>
    <n v="3"/>
    <n v="571.53"/>
    <s v="821 Main St"/>
    <x v="0"/>
    <x v="3"/>
    <s v="TRK59642814"/>
    <n v="6"/>
    <s v="FREESHIP"/>
    <x v="3"/>
    <x v="1140"/>
    <m/>
  </r>
  <r>
    <s v="ORD201146"/>
    <x v="525"/>
    <s v="C36383"/>
    <x v="0"/>
    <n v="5"/>
    <n v="421.44"/>
    <s v="286 Main St"/>
    <x v="4"/>
    <x v="4"/>
    <s v="TRK93336357"/>
    <n v="5"/>
    <s v="SAVE10"/>
    <x v="0"/>
    <x v="1141"/>
    <m/>
  </r>
  <r>
    <s v="ORD201147"/>
    <x v="143"/>
    <s v="C19759"/>
    <x v="3"/>
    <n v="2"/>
    <n v="588.29999999999995"/>
    <s v="234 Main St"/>
    <x v="1"/>
    <x v="4"/>
    <s v="TRK22515454"/>
    <n v="2"/>
    <s v="FREESHIP"/>
    <x v="2"/>
    <x v="1142"/>
    <m/>
  </r>
  <r>
    <s v="ORD201148"/>
    <x v="611"/>
    <s v="C54886"/>
    <x v="1"/>
    <n v="1"/>
    <n v="355.15"/>
    <s v="442 Main St"/>
    <x v="4"/>
    <x v="2"/>
    <s v="TRK66241930"/>
    <n v="2"/>
    <s v="SAVE10"/>
    <x v="2"/>
    <x v="1143"/>
    <m/>
  </r>
  <r>
    <s v="ORD201149"/>
    <x v="568"/>
    <s v="C27305"/>
    <x v="3"/>
    <n v="2"/>
    <n v="695.29"/>
    <s v="957 Main St"/>
    <x v="2"/>
    <x v="4"/>
    <s v="TRK28789916"/>
    <n v="6"/>
    <s v="FREESHIP"/>
    <x v="0"/>
    <x v="1144"/>
    <m/>
  </r>
  <r>
    <s v="ORD201150"/>
    <x v="215"/>
    <s v="C17921"/>
    <x v="6"/>
    <n v="4"/>
    <n v="302.64999999999998"/>
    <s v="119 Main St"/>
    <x v="2"/>
    <x v="1"/>
    <s v="TRK79291524"/>
    <n v="8"/>
    <s v="SAVE10"/>
    <x v="1"/>
    <x v="1145"/>
    <m/>
  </r>
  <r>
    <s v="ORD201151"/>
    <x v="22"/>
    <s v="C94381"/>
    <x v="3"/>
    <n v="2"/>
    <n v="608.04"/>
    <s v="962 Main St"/>
    <x v="4"/>
    <x v="1"/>
    <s v="TRK69804304"/>
    <n v="4"/>
    <s v="NO COUPON"/>
    <x v="4"/>
    <x v="1146"/>
    <m/>
  </r>
  <r>
    <s v="ORD201152"/>
    <x v="576"/>
    <s v="C25162"/>
    <x v="2"/>
    <n v="2"/>
    <n v="344.18"/>
    <s v="533 Main St"/>
    <x v="2"/>
    <x v="0"/>
    <s v="TRK42183078"/>
    <n v="7"/>
    <s v="NO COUPON"/>
    <x v="1"/>
    <x v="1147"/>
    <m/>
  </r>
  <r>
    <s v="ORD201153"/>
    <x v="393"/>
    <s v="C98317"/>
    <x v="0"/>
    <n v="4"/>
    <n v="696.71"/>
    <s v="276 Main St"/>
    <x v="0"/>
    <x v="0"/>
    <s v="TRK37172138"/>
    <n v="4"/>
    <s v="NO COUPON"/>
    <x v="0"/>
    <x v="1148"/>
    <m/>
  </r>
  <r>
    <s v="ORD201154"/>
    <x v="113"/>
    <s v="C53631"/>
    <x v="0"/>
    <n v="3"/>
    <n v="198.63"/>
    <s v="593 Main St"/>
    <x v="4"/>
    <x v="4"/>
    <s v="TRK67589167"/>
    <n v="8"/>
    <s v="SAVE10"/>
    <x v="0"/>
    <x v="1149"/>
    <m/>
  </r>
  <r>
    <s v="ORD201155"/>
    <x v="340"/>
    <s v="C41478"/>
    <x v="4"/>
    <n v="4"/>
    <n v="534.57000000000005"/>
    <s v="667 Main St"/>
    <x v="2"/>
    <x v="3"/>
    <s v="TRK62068126"/>
    <n v="6"/>
    <s v="FREESHIP"/>
    <x v="3"/>
    <x v="1150"/>
    <m/>
  </r>
  <r>
    <s v="ORD201156"/>
    <x v="45"/>
    <s v="C20512"/>
    <x v="5"/>
    <n v="4"/>
    <n v="690.78"/>
    <s v="980 Main St"/>
    <x v="2"/>
    <x v="0"/>
    <s v="TRK98234737"/>
    <n v="9"/>
    <s v="NO COUPON"/>
    <x v="1"/>
    <x v="1151"/>
    <m/>
  </r>
  <r>
    <s v="ORD201157"/>
    <x v="382"/>
    <s v="C25841"/>
    <x v="0"/>
    <n v="3"/>
    <n v="301.55"/>
    <s v="242 Main St"/>
    <x v="0"/>
    <x v="3"/>
    <s v="TRK21451375"/>
    <n v="5"/>
    <s v="FREESHIP"/>
    <x v="4"/>
    <x v="1152"/>
    <m/>
  </r>
  <r>
    <s v="ORD201158"/>
    <x v="197"/>
    <s v="C82781"/>
    <x v="0"/>
    <n v="4"/>
    <n v="27.42"/>
    <s v="661 Main St"/>
    <x v="0"/>
    <x v="4"/>
    <s v="TRK20605418"/>
    <n v="4"/>
    <s v="SAVE10"/>
    <x v="1"/>
    <x v="1153"/>
    <m/>
  </r>
  <r>
    <s v="ORD201159"/>
    <x v="203"/>
    <s v="C66112"/>
    <x v="6"/>
    <n v="4"/>
    <n v="466.7"/>
    <s v="874 Main St"/>
    <x v="0"/>
    <x v="2"/>
    <s v="TRK60955607"/>
    <n v="8"/>
    <s v="NO COUPON"/>
    <x v="0"/>
    <x v="1154"/>
    <m/>
  </r>
  <r>
    <s v="ORD201160"/>
    <x v="333"/>
    <s v="C40466"/>
    <x v="6"/>
    <n v="1"/>
    <n v="541.64"/>
    <s v="449 Main St"/>
    <x v="0"/>
    <x v="0"/>
    <s v="TRK70255168"/>
    <n v="5"/>
    <s v="SAVE10"/>
    <x v="2"/>
    <x v="1155"/>
    <m/>
  </r>
  <r>
    <s v="ORD201161"/>
    <x v="504"/>
    <s v="C32570"/>
    <x v="1"/>
    <n v="1"/>
    <n v="11.39"/>
    <s v="826 Main St"/>
    <x v="4"/>
    <x v="1"/>
    <s v="TRK35969968"/>
    <n v="6"/>
    <s v="WINTER15"/>
    <x v="2"/>
    <x v="1156"/>
    <m/>
  </r>
  <r>
    <s v="ORD201162"/>
    <x v="660"/>
    <s v="C29405"/>
    <x v="1"/>
    <n v="2"/>
    <n v="224.37"/>
    <s v="251 Main St"/>
    <x v="0"/>
    <x v="3"/>
    <s v="TRK33125798"/>
    <n v="3"/>
    <s v="WINTER15"/>
    <x v="1"/>
    <x v="1157"/>
    <m/>
  </r>
  <r>
    <s v="ORD201163"/>
    <x v="184"/>
    <s v="C30643"/>
    <x v="5"/>
    <n v="3"/>
    <n v="306.29000000000002"/>
    <s v="966 Main St"/>
    <x v="2"/>
    <x v="2"/>
    <s v="TRK19477485"/>
    <n v="7"/>
    <s v="WINTER15"/>
    <x v="0"/>
    <x v="1158"/>
    <m/>
  </r>
  <r>
    <s v="ORD201164"/>
    <x v="649"/>
    <s v="C65890"/>
    <x v="2"/>
    <n v="5"/>
    <n v="315.57"/>
    <s v="340 Main St"/>
    <x v="0"/>
    <x v="3"/>
    <s v="TRK64530489"/>
    <n v="6"/>
    <s v="WINTER15"/>
    <x v="2"/>
    <x v="1159"/>
    <m/>
  </r>
  <r>
    <s v="ORD201165"/>
    <x v="328"/>
    <s v="C36992"/>
    <x v="3"/>
    <n v="3"/>
    <n v="223.79"/>
    <s v="617 Main St"/>
    <x v="0"/>
    <x v="4"/>
    <s v="TRK63460217"/>
    <n v="3"/>
    <s v="NO COUPON"/>
    <x v="4"/>
    <x v="1160"/>
    <m/>
  </r>
  <r>
    <s v="ORD201166"/>
    <x v="48"/>
    <s v="C95568"/>
    <x v="3"/>
    <n v="3"/>
    <n v="324.47000000000003"/>
    <s v="971 Main St"/>
    <x v="4"/>
    <x v="3"/>
    <s v="TRK37075292"/>
    <n v="4"/>
    <s v="WINTER15"/>
    <x v="2"/>
    <x v="1161"/>
    <m/>
  </r>
  <r>
    <s v="ORD201167"/>
    <x v="661"/>
    <s v="C17966"/>
    <x v="4"/>
    <n v="2"/>
    <n v="92.87"/>
    <s v="360 Main St"/>
    <x v="2"/>
    <x v="4"/>
    <s v="TRK31169396"/>
    <n v="5"/>
    <s v="FREESHIP"/>
    <x v="3"/>
    <x v="1162"/>
    <m/>
  </r>
  <r>
    <s v="ORD201168"/>
    <x v="505"/>
    <s v="C89559"/>
    <x v="5"/>
    <n v="2"/>
    <n v="331.42"/>
    <s v="297 Main St"/>
    <x v="2"/>
    <x v="3"/>
    <s v="TRK82838108"/>
    <n v="6"/>
    <s v="WINTER15"/>
    <x v="4"/>
    <x v="1163"/>
    <m/>
  </r>
  <r>
    <s v="ORD201169"/>
    <x v="662"/>
    <s v="C15849"/>
    <x v="3"/>
    <n v="1"/>
    <n v="525.42999999999995"/>
    <s v="643 Main St"/>
    <x v="4"/>
    <x v="1"/>
    <s v="TRK26794546"/>
    <n v="2"/>
    <s v="SAVE10"/>
    <x v="0"/>
    <x v="1164"/>
    <m/>
  </r>
  <r>
    <s v="ORD201170"/>
    <x v="567"/>
    <s v="C94257"/>
    <x v="4"/>
    <n v="2"/>
    <n v="697.19"/>
    <s v="762 Main St"/>
    <x v="4"/>
    <x v="2"/>
    <s v="TRK40220743"/>
    <n v="7"/>
    <s v="FREESHIP"/>
    <x v="2"/>
    <x v="1165"/>
    <m/>
  </r>
  <r>
    <s v="ORD201171"/>
    <x v="81"/>
    <s v="C39911"/>
    <x v="1"/>
    <n v="4"/>
    <n v="518.4"/>
    <s v="699 Main St"/>
    <x v="2"/>
    <x v="3"/>
    <s v="TRK80431998"/>
    <n v="7"/>
    <s v="SAVE10"/>
    <x v="3"/>
    <x v="1166"/>
    <m/>
  </r>
  <r>
    <s v="ORD201172"/>
    <x v="496"/>
    <s v="C28828"/>
    <x v="6"/>
    <n v="3"/>
    <n v="131.96"/>
    <s v="745 Main St"/>
    <x v="2"/>
    <x v="4"/>
    <s v="TRK32550359"/>
    <n v="8"/>
    <s v="NO COUPON"/>
    <x v="0"/>
    <x v="1167"/>
    <m/>
  </r>
  <r>
    <s v="ORD201173"/>
    <x v="449"/>
    <s v="C82921"/>
    <x v="0"/>
    <n v="1"/>
    <n v="208.36"/>
    <s v="703 Main St"/>
    <x v="1"/>
    <x v="0"/>
    <s v="TRK31079911"/>
    <n v="4"/>
    <s v="FREESHIP"/>
    <x v="2"/>
    <x v="1168"/>
    <m/>
  </r>
  <r>
    <s v="ORD201174"/>
    <x v="110"/>
    <s v="C50159"/>
    <x v="4"/>
    <n v="3"/>
    <n v="222.34"/>
    <s v="105 Main St"/>
    <x v="2"/>
    <x v="2"/>
    <s v="TRK53737452"/>
    <n v="5"/>
    <s v="WINTER15"/>
    <x v="2"/>
    <x v="1169"/>
    <m/>
  </r>
  <r>
    <s v="ORD201175"/>
    <x v="663"/>
    <s v="C62512"/>
    <x v="4"/>
    <n v="3"/>
    <n v="91.74"/>
    <s v="368 Main St"/>
    <x v="0"/>
    <x v="2"/>
    <s v="TRK24139954"/>
    <n v="8"/>
    <s v="FREESHIP"/>
    <x v="1"/>
    <x v="1170"/>
    <m/>
  </r>
  <r>
    <s v="ORD201176"/>
    <x v="340"/>
    <s v="C39260"/>
    <x v="2"/>
    <n v="2"/>
    <n v="213.83"/>
    <s v="374 Main St"/>
    <x v="0"/>
    <x v="1"/>
    <s v="TRK55587314"/>
    <n v="2"/>
    <s v="WINTER15"/>
    <x v="2"/>
    <x v="1171"/>
    <m/>
  </r>
  <r>
    <s v="ORD201177"/>
    <x v="664"/>
    <s v="C23917"/>
    <x v="4"/>
    <n v="1"/>
    <n v="127.55"/>
    <s v="433 Main St"/>
    <x v="4"/>
    <x v="0"/>
    <s v="TRK44434536"/>
    <n v="3"/>
    <s v="SAVE10"/>
    <x v="1"/>
    <x v="1172"/>
    <m/>
  </r>
  <r>
    <s v="ORD201178"/>
    <x v="50"/>
    <s v="C65107"/>
    <x v="0"/>
    <n v="1"/>
    <n v="70.239999999999995"/>
    <s v="456 Main St"/>
    <x v="2"/>
    <x v="1"/>
    <s v="TRK10261578"/>
    <n v="4"/>
    <s v="FREESHIP"/>
    <x v="4"/>
    <x v="1173"/>
    <m/>
  </r>
  <r>
    <s v="ORD201179"/>
    <x v="124"/>
    <s v="C84630"/>
    <x v="5"/>
    <n v="5"/>
    <n v="518.54999999999995"/>
    <s v="907 Main St"/>
    <x v="2"/>
    <x v="1"/>
    <s v="TRK48054997"/>
    <n v="6"/>
    <s v="WINTER15"/>
    <x v="0"/>
    <x v="1174"/>
    <m/>
  </r>
  <r>
    <s v="ORD201180"/>
    <x v="150"/>
    <s v="C42235"/>
    <x v="3"/>
    <n v="4"/>
    <n v="298.36"/>
    <s v="722 Main St"/>
    <x v="0"/>
    <x v="4"/>
    <s v="TRK49379882"/>
    <n v="8"/>
    <s v="FREESHIP"/>
    <x v="4"/>
    <x v="1175"/>
    <m/>
  </r>
  <r>
    <s v="ORD201181"/>
    <x v="152"/>
    <s v="C70246"/>
    <x v="6"/>
    <n v="3"/>
    <n v="158.74"/>
    <s v="293 Main St"/>
    <x v="1"/>
    <x v="4"/>
    <s v="TRK45708320"/>
    <n v="7"/>
    <s v="FREESHIP"/>
    <x v="0"/>
    <x v="1176"/>
    <m/>
  </r>
  <r>
    <s v="ORD201182"/>
    <x v="554"/>
    <s v="C18473"/>
    <x v="3"/>
    <n v="2"/>
    <n v="420.29"/>
    <s v="700 Main St"/>
    <x v="3"/>
    <x v="2"/>
    <s v="TRK97834202"/>
    <n v="3"/>
    <s v="SAVE10"/>
    <x v="4"/>
    <x v="1177"/>
    <m/>
  </r>
  <r>
    <s v="ORD201183"/>
    <x v="228"/>
    <s v="C12607"/>
    <x v="6"/>
    <n v="1"/>
    <n v="281.52"/>
    <s v="460 Main St"/>
    <x v="3"/>
    <x v="0"/>
    <s v="TRK83653396"/>
    <n v="6"/>
    <s v="WINTER15"/>
    <x v="1"/>
    <x v="1178"/>
    <m/>
  </r>
  <r>
    <s v="ORD201184"/>
    <x v="610"/>
    <s v="C10222"/>
    <x v="5"/>
    <n v="1"/>
    <n v="204.08"/>
    <s v="979 Main St"/>
    <x v="3"/>
    <x v="2"/>
    <s v="TRK86297895"/>
    <n v="4"/>
    <s v="NO COUPON"/>
    <x v="4"/>
    <x v="1179"/>
    <m/>
  </r>
  <r>
    <s v="ORD201185"/>
    <x v="665"/>
    <s v="C77344"/>
    <x v="3"/>
    <n v="1"/>
    <n v="343.31"/>
    <s v="777 Main St"/>
    <x v="3"/>
    <x v="2"/>
    <s v="TRK20605055"/>
    <n v="6"/>
    <s v="SAVE10"/>
    <x v="4"/>
    <x v="1180"/>
    <m/>
  </r>
  <r>
    <s v="ORD201186"/>
    <x v="134"/>
    <s v="C65497"/>
    <x v="0"/>
    <n v="1"/>
    <n v="163.32"/>
    <s v="676 Main St"/>
    <x v="4"/>
    <x v="0"/>
    <s v="TRK83702761"/>
    <n v="6"/>
    <s v="WINTER15"/>
    <x v="3"/>
    <x v="1181"/>
    <m/>
  </r>
  <r>
    <s v="ORD201187"/>
    <x v="206"/>
    <s v="C26340"/>
    <x v="6"/>
    <n v="2"/>
    <n v="184.6"/>
    <s v="562 Main St"/>
    <x v="3"/>
    <x v="3"/>
    <s v="TRK59962703"/>
    <n v="7"/>
    <s v="WINTER15"/>
    <x v="2"/>
    <x v="1182"/>
    <m/>
  </r>
  <r>
    <s v="ORD201188"/>
    <x v="47"/>
    <s v="C75619"/>
    <x v="4"/>
    <n v="2"/>
    <n v="371.29"/>
    <s v="924 Main St"/>
    <x v="3"/>
    <x v="0"/>
    <s v="TRK23086941"/>
    <n v="5"/>
    <s v="WINTER15"/>
    <x v="3"/>
    <x v="1183"/>
    <m/>
  </r>
  <r>
    <s v="ORD201189"/>
    <x v="666"/>
    <s v="C96136"/>
    <x v="2"/>
    <n v="5"/>
    <n v="389.22"/>
    <s v="149 Main St"/>
    <x v="4"/>
    <x v="1"/>
    <s v="TRK60856682"/>
    <n v="7"/>
    <s v="NO COUPON"/>
    <x v="1"/>
    <x v="1184"/>
    <m/>
  </r>
  <r>
    <s v="ORD201190"/>
    <x v="647"/>
    <s v="C46886"/>
    <x v="6"/>
    <n v="3"/>
    <n v="616.39"/>
    <s v="754 Main St"/>
    <x v="2"/>
    <x v="0"/>
    <s v="TRK82791646"/>
    <n v="6"/>
    <s v="FREESHIP"/>
    <x v="0"/>
    <x v="1185"/>
    <m/>
  </r>
  <r>
    <s v="ORD201191"/>
    <x v="441"/>
    <s v="C44148"/>
    <x v="6"/>
    <n v="4"/>
    <n v="376.43"/>
    <s v="809 Main St"/>
    <x v="3"/>
    <x v="4"/>
    <s v="TRK67872709"/>
    <n v="5"/>
    <s v="WINTER15"/>
    <x v="0"/>
    <x v="1186"/>
    <m/>
  </r>
  <r>
    <s v="ORD201192"/>
    <x v="329"/>
    <s v="C72007"/>
    <x v="3"/>
    <n v="3"/>
    <n v="432.85"/>
    <s v="999 Main St"/>
    <x v="1"/>
    <x v="4"/>
    <s v="TRK16240916"/>
    <n v="4"/>
    <s v="NO COUPON"/>
    <x v="0"/>
    <x v="1187"/>
    <m/>
  </r>
  <r>
    <s v="ORD201193"/>
    <x v="667"/>
    <s v="C45104"/>
    <x v="2"/>
    <n v="1"/>
    <n v="687.89"/>
    <s v="348 Main St"/>
    <x v="4"/>
    <x v="2"/>
    <s v="TRK38559816"/>
    <n v="1"/>
    <s v="FREESHIP"/>
    <x v="2"/>
    <x v="1188"/>
    <m/>
  </r>
  <r>
    <s v="ORD201194"/>
    <x v="614"/>
    <s v="C29885"/>
    <x v="4"/>
    <n v="3"/>
    <n v="189.44"/>
    <s v="725 Main St"/>
    <x v="4"/>
    <x v="4"/>
    <s v="TRK62067865"/>
    <n v="4"/>
    <s v="FREESHIP"/>
    <x v="2"/>
    <x v="1189"/>
    <m/>
  </r>
  <r>
    <s v="ORD201195"/>
    <x v="643"/>
    <s v="C21126"/>
    <x v="6"/>
    <n v="1"/>
    <n v="107.04"/>
    <s v="392 Main St"/>
    <x v="2"/>
    <x v="1"/>
    <s v="TRK38009181"/>
    <n v="6"/>
    <s v="FREESHIP"/>
    <x v="4"/>
    <x v="1190"/>
    <m/>
  </r>
  <r>
    <s v="ORD201196"/>
    <x v="668"/>
    <s v="C20095"/>
    <x v="0"/>
    <n v="2"/>
    <n v="662.53"/>
    <s v="778 Main St"/>
    <x v="1"/>
    <x v="1"/>
    <s v="TRK69207593"/>
    <n v="5"/>
    <s v="NO COUPON"/>
    <x v="3"/>
    <x v="1191"/>
    <m/>
  </r>
  <r>
    <s v="ORD201197"/>
    <x v="669"/>
    <s v="C79674"/>
    <x v="2"/>
    <n v="2"/>
    <n v="436.84"/>
    <s v="275 Main St"/>
    <x v="1"/>
    <x v="3"/>
    <s v="TRK88039356"/>
    <n v="2"/>
    <s v="FREESHIP"/>
    <x v="0"/>
    <x v="1192"/>
    <m/>
  </r>
  <r>
    <s v="ORD201198"/>
    <x v="670"/>
    <s v="C64753"/>
    <x v="3"/>
    <n v="4"/>
    <n v="262.52"/>
    <s v="509 Main St"/>
    <x v="0"/>
    <x v="1"/>
    <s v="TRK71683331"/>
    <n v="4"/>
    <s v="WINTER15"/>
    <x v="0"/>
    <x v="1193"/>
    <m/>
  </r>
  <r>
    <s v="ORD201199"/>
    <x v="236"/>
    <s v="C57502"/>
    <x v="2"/>
    <n v="4"/>
    <n v="560.58000000000004"/>
    <s v="201 Main St"/>
    <x v="3"/>
    <x v="2"/>
    <s v="TRK51116746"/>
    <n v="6"/>
    <s v="SAVE10"/>
    <x v="1"/>
    <x v="119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G10:H18" firstHeaderRow="1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11:E24" firstHeaderRow="1" firstDataRow="1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1:B17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4"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G1:H7" firstHeaderRow="1" firstDataRow="1" firstDataCol="1"/>
  <pivotFields count="15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D1:E7" firstHeaderRow="1" firstDataRow="1" firstDataCol="1"/>
  <pivotFields count="15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showAll="0"/>
    <pivotField axis="axisRow" showAll="0" sortType="ascending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4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:B9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3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1"/>
  <sheetViews>
    <sheetView workbookViewId="0">
      <pane ySplit="1" topLeftCell="A1181" activePane="bottomLeft" state="frozen"/>
      <selection pane="bottomLeft" activeCell="M1064" sqref="M1064"/>
    </sheetView>
  </sheetViews>
  <sheetFormatPr defaultRowHeight="15" x14ac:dyDescent="0.25"/>
  <cols>
    <col min="1" max="1" width="11.7109375" customWidth="1"/>
    <col min="2" max="2" width="18" style="3" bestFit="1" customWidth="1"/>
    <col min="3" max="3" width="12.7109375" customWidth="1"/>
    <col min="6" max="6" width="14.85546875" style="5" customWidth="1"/>
    <col min="7" max="7" width="14.7109375" customWidth="1"/>
    <col min="8" max="8" width="15.140625" customWidth="1"/>
    <col min="9" max="9" width="13.85546875" customWidth="1"/>
    <col min="10" max="10" width="14.5703125" customWidth="1"/>
    <col min="11" max="11" width="13.28515625" customWidth="1"/>
    <col min="12" max="12" width="12.85546875" customWidth="1"/>
    <col min="13" max="13" width="15.140625" customWidth="1"/>
    <col min="14" max="14" width="13.7109375" style="5" customWidth="1"/>
    <col min="15" max="15" width="20.28515625" customWidth="1"/>
    <col min="16" max="16" width="21.5703125" bestFit="1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8" t="s">
        <v>4329</v>
      </c>
      <c r="P1" s="8" t="s">
        <v>4330</v>
      </c>
    </row>
    <row r="2" spans="1:16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  <c r="O2" t="str">
        <f>IF(OR(F2&lt;'EDA Analysis'!$B$22,F2&gt;'EDA Analysis'!$B$23),"OUTLIER","Normal")</f>
        <v>Normal</v>
      </c>
      <c r="P2" t="str">
        <f>IF(OR(N2&lt;'EDA Analysis'!$E$6,N2&gt;'EDA Analysis'!$E$7),"OUTLIER","Normal")</f>
        <v>Normal</v>
      </c>
    </row>
    <row r="3" spans="1:16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  <c r="O3" t="str">
        <f>IF(OR(F3&lt;'EDA Analysis'!$B$22,F3&gt;'EDA Analysis'!$B$23),"OUTLIER","Normal")</f>
        <v>Normal</v>
      </c>
      <c r="P3" t="str">
        <f>IF(OR(N3&lt;'EDA Analysis'!$E$6,N3&gt;'EDA Analysis'!$E$7),"OUTLIER","Normal")</f>
        <v>Normal</v>
      </c>
    </row>
    <row r="4" spans="1:16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  <c r="O4" t="str">
        <f>IF(OR(F4&lt;'EDA Analysis'!$B$22,F4&gt;'EDA Analysis'!$B$23),"OUTLIER","Normal")</f>
        <v>Normal</v>
      </c>
      <c r="P4" t="str">
        <f>IF(OR(N4&lt;'EDA Analysis'!$E$6,N4&gt;'EDA Analysis'!$E$7),"OUTLIER","Normal")</f>
        <v>Normal</v>
      </c>
    </row>
    <row r="5" spans="1:16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  <c r="O5" t="str">
        <f>IF(OR(F5&lt;'EDA Analysis'!$B$22,F5&gt;'EDA Analysis'!$B$23),"OUTLIER","Normal")</f>
        <v>Normal</v>
      </c>
      <c r="P5" t="str">
        <f>IF(OR(N5&lt;'EDA Analysis'!$E$6,N5&gt;'EDA Analysis'!$E$7),"OUTLIER","Normal")</f>
        <v>Normal</v>
      </c>
    </row>
    <row r="6" spans="1:16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  <c r="O6" t="str">
        <f>IF(OR(F6&lt;'EDA Analysis'!$B$22,F6&gt;'EDA Analysis'!$B$23),"OUTLIER","Normal")</f>
        <v>Normal</v>
      </c>
      <c r="P6" t="str">
        <f>IF(OR(N6&lt;'EDA Analysis'!$E$6,N6&gt;'EDA Analysis'!$E$7),"OUTLIER","Normal")</f>
        <v>Normal</v>
      </c>
    </row>
    <row r="7" spans="1:16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  <c r="O7" t="str">
        <f>IF(OR(F7&lt;'EDA Analysis'!$B$22,F7&gt;'EDA Analysis'!$B$23),"OUTLIER","Normal")</f>
        <v>Normal</v>
      </c>
      <c r="P7" t="str">
        <f>IF(OR(N7&lt;'EDA Analysis'!$E$6,N7&gt;'EDA Analysis'!$E$7),"OUTLIER","Normal")</f>
        <v>Normal</v>
      </c>
    </row>
    <row r="8" spans="1:16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  <c r="O8" t="str">
        <f>IF(OR(F8&lt;'EDA Analysis'!$B$22,F8&gt;'EDA Analysis'!$B$23),"OUTLIER","Normal")</f>
        <v>Normal</v>
      </c>
      <c r="P8" t="str">
        <f>IF(OR(N8&lt;'EDA Analysis'!$E$6,N8&gt;'EDA Analysis'!$E$7),"OUTLIER","Normal")</f>
        <v>Normal</v>
      </c>
    </row>
    <row r="9" spans="1:16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  <c r="O9" t="str">
        <f>IF(OR(F9&lt;'EDA Analysis'!$B$22,F9&gt;'EDA Analysis'!$B$23),"OUTLIER","Normal")</f>
        <v>Normal</v>
      </c>
      <c r="P9" t="str">
        <f>IF(OR(N9&lt;'EDA Analysis'!$E$6,N9&gt;'EDA Analysis'!$E$7),"OUTLIER","Normal")</f>
        <v>Normal</v>
      </c>
    </row>
    <row r="10" spans="1:16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  <c r="O10" t="str">
        <f>IF(OR(F10&lt;'EDA Analysis'!$B$22,F10&gt;'EDA Analysis'!$B$23),"OUTLIER","Normal")</f>
        <v>Normal</v>
      </c>
      <c r="P10" t="str">
        <f>IF(OR(N10&lt;'EDA Analysis'!$E$6,N10&gt;'EDA Analysis'!$E$7),"OUTLIER","Normal")</f>
        <v>Normal</v>
      </c>
    </row>
    <row r="11" spans="1:16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  <c r="O11" t="str">
        <f>IF(OR(F11&lt;'EDA Analysis'!$B$22,F11&gt;'EDA Analysis'!$B$23),"OUTLIER","Normal")</f>
        <v>Normal</v>
      </c>
      <c r="P11" t="str">
        <f>IF(OR(N11&lt;'EDA Analysis'!$E$6,N11&gt;'EDA Analysis'!$E$7),"OUTLIER","Normal")</f>
        <v>Normal</v>
      </c>
    </row>
    <row r="12" spans="1:16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  <c r="O12" t="str">
        <f>IF(OR(F12&lt;'EDA Analysis'!$B$22,F12&gt;'EDA Analysis'!$B$23),"OUTLIER","Normal")</f>
        <v>Normal</v>
      </c>
      <c r="P12" t="str">
        <f>IF(OR(N12&lt;'EDA Analysis'!$E$6,N12&gt;'EDA Analysis'!$E$7),"OUTLIER","Normal")</f>
        <v>Normal</v>
      </c>
    </row>
    <row r="13" spans="1:16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  <c r="O13" t="str">
        <f>IF(OR(F13&lt;'EDA Analysis'!$B$22,F13&gt;'EDA Analysis'!$B$23),"OUTLIER","Normal")</f>
        <v>Normal</v>
      </c>
      <c r="P13" t="str">
        <f>IF(OR(N13&lt;'EDA Analysis'!$E$6,N13&gt;'EDA Analysis'!$E$7),"OUTLIER","Normal")</f>
        <v>Normal</v>
      </c>
    </row>
    <row r="14" spans="1:16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  <c r="O14" t="str">
        <f>IF(OR(F14&lt;'EDA Analysis'!$B$22,F14&gt;'EDA Analysis'!$B$23),"OUTLIER","Normal")</f>
        <v>Normal</v>
      </c>
      <c r="P14" t="str">
        <f>IF(OR(N14&lt;'EDA Analysis'!$E$6,N14&gt;'EDA Analysis'!$E$7),"OUTLIER","Normal")</f>
        <v>Normal</v>
      </c>
    </row>
    <row r="15" spans="1:16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  <c r="O15" t="str">
        <f>IF(OR(F15&lt;'EDA Analysis'!$B$22,F15&gt;'EDA Analysis'!$B$23),"OUTLIER","Normal")</f>
        <v>Normal</v>
      </c>
      <c r="P15" t="str">
        <f>IF(OR(N15&lt;'EDA Analysis'!$E$6,N15&gt;'EDA Analysis'!$E$7),"OUTLIER","Normal")</f>
        <v>Normal</v>
      </c>
    </row>
    <row r="16" spans="1:16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  <c r="O16" t="str">
        <f>IF(OR(F16&lt;'EDA Analysis'!$B$22,F16&gt;'EDA Analysis'!$B$23),"OUTLIER","Normal")</f>
        <v>Normal</v>
      </c>
      <c r="P16" t="str">
        <f>IF(OR(N16&lt;'EDA Analysis'!$E$6,N16&gt;'EDA Analysis'!$E$7),"OUTLIER","Normal")</f>
        <v>Normal</v>
      </c>
    </row>
    <row r="17" spans="1:16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  <c r="O17" t="str">
        <f>IF(OR(F17&lt;'EDA Analysis'!$B$22,F17&gt;'EDA Analysis'!$B$23),"OUTLIER","Normal")</f>
        <v>Normal</v>
      </c>
      <c r="P17" t="str">
        <f>IF(OR(N17&lt;'EDA Analysis'!$E$6,N17&gt;'EDA Analysis'!$E$7),"OUTLIER","Normal")</f>
        <v>Normal</v>
      </c>
    </row>
    <row r="18" spans="1:16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  <c r="O18" t="str">
        <f>IF(OR(F18&lt;'EDA Analysis'!$B$22,F18&gt;'EDA Analysis'!$B$23),"OUTLIER","Normal")</f>
        <v>Normal</v>
      </c>
      <c r="P18" t="str">
        <f>IF(OR(N18&lt;'EDA Analysis'!$E$6,N18&gt;'EDA Analysis'!$E$7),"OUTLIER","Normal")</f>
        <v>Normal</v>
      </c>
    </row>
    <row r="19" spans="1:16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  <c r="O19" t="str">
        <f>IF(OR(F19&lt;'EDA Analysis'!$B$22,F19&gt;'EDA Analysis'!$B$23),"OUTLIER","Normal")</f>
        <v>Normal</v>
      </c>
      <c r="P19" t="str">
        <f>IF(OR(N19&lt;'EDA Analysis'!$E$6,N19&gt;'EDA Analysis'!$E$7),"OUTLIER","Normal")</f>
        <v>Normal</v>
      </c>
    </row>
    <row r="20" spans="1:16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  <c r="O20" t="str">
        <f>IF(OR(F20&lt;'EDA Analysis'!$B$22,F20&gt;'EDA Analysis'!$B$23),"OUTLIER","Normal")</f>
        <v>Normal</v>
      </c>
      <c r="P20" t="str">
        <f>IF(OR(N20&lt;'EDA Analysis'!$E$6,N20&gt;'EDA Analysis'!$E$7),"OUTLIER","Normal")</f>
        <v>Normal</v>
      </c>
    </row>
    <row r="21" spans="1:16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  <c r="O21" t="str">
        <f>IF(OR(F21&lt;'EDA Analysis'!$B$22,F21&gt;'EDA Analysis'!$B$23),"OUTLIER","Normal")</f>
        <v>Normal</v>
      </c>
      <c r="P21" t="str">
        <f>IF(OR(N21&lt;'EDA Analysis'!$E$6,N21&gt;'EDA Analysis'!$E$7),"OUTLIER","Normal")</f>
        <v>Normal</v>
      </c>
    </row>
    <row r="22" spans="1:16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  <c r="O22" t="str">
        <f>IF(OR(F22&lt;'EDA Analysis'!$B$22,F22&gt;'EDA Analysis'!$B$23),"OUTLIER","Normal")</f>
        <v>Normal</v>
      </c>
      <c r="P22" t="str">
        <f>IF(OR(N22&lt;'EDA Analysis'!$E$6,N22&gt;'EDA Analysis'!$E$7),"OUTLIER","Normal")</f>
        <v>Normal</v>
      </c>
    </row>
    <row r="23" spans="1:16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  <c r="O23" t="str">
        <f>IF(OR(F23&lt;'EDA Analysis'!$B$22,F23&gt;'EDA Analysis'!$B$23),"OUTLIER","Normal")</f>
        <v>Normal</v>
      </c>
      <c r="P23" t="str">
        <f>IF(OR(N23&lt;'EDA Analysis'!$E$6,N23&gt;'EDA Analysis'!$E$7),"OUTLIER","Normal")</f>
        <v>Normal</v>
      </c>
    </row>
    <row r="24" spans="1:16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  <c r="O24" t="str">
        <f>IF(OR(F24&lt;'EDA Analysis'!$B$22,F24&gt;'EDA Analysis'!$B$23),"OUTLIER","Normal")</f>
        <v>Normal</v>
      </c>
      <c r="P24" t="str">
        <f>IF(OR(N24&lt;'EDA Analysis'!$E$6,N24&gt;'EDA Analysis'!$E$7),"OUTLIER","Normal")</f>
        <v>Normal</v>
      </c>
    </row>
    <row r="25" spans="1:16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  <c r="O25" t="str">
        <f>IF(OR(F25&lt;'EDA Analysis'!$B$22,F25&gt;'EDA Analysis'!$B$23),"OUTLIER","Normal")</f>
        <v>Normal</v>
      </c>
      <c r="P25" t="str">
        <f>IF(OR(N25&lt;'EDA Analysis'!$E$6,N25&gt;'EDA Analysis'!$E$7),"OUTLIER","Normal")</f>
        <v>Normal</v>
      </c>
    </row>
    <row r="26" spans="1:16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  <c r="O26" t="str">
        <f>IF(OR(F26&lt;'EDA Analysis'!$B$22,F26&gt;'EDA Analysis'!$B$23),"OUTLIER","Normal")</f>
        <v>Normal</v>
      </c>
      <c r="P26" t="str">
        <f>IF(OR(N26&lt;'EDA Analysis'!$E$6,N26&gt;'EDA Analysis'!$E$7),"OUTLIER","Normal")</f>
        <v>Normal</v>
      </c>
    </row>
    <row r="27" spans="1:16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  <c r="O27" t="str">
        <f>IF(OR(F27&lt;'EDA Analysis'!$B$22,F27&gt;'EDA Analysis'!$B$23),"OUTLIER","Normal")</f>
        <v>Normal</v>
      </c>
      <c r="P27" t="str">
        <f>IF(OR(N27&lt;'EDA Analysis'!$E$6,N27&gt;'EDA Analysis'!$E$7),"OUTLIER","Normal")</f>
        <v>Normal</v>
      </c>
    </row>
    <row r="28" spans="1:16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  <c r="O28" t="str">
        <f>IF(OR(F28&lt;'EDA Analysis'!$B$22,F28&gt;'EDA Analysis'!$B$23),"OUTLIER","Normal")</f>
        <v>Normal</v>
      </c>
      <c r="P28" t="str">
        <f>IF(OR(N28&lt;'EDA Analysis'!$E$6,N28&gt;'EDA Analysis'!$E$7),"OUTLIER","Normal")</f>
        <v>Normal</v>
      </c>
    </row>
    <row r="29" spans="1:16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  <c r="O29" t="str">
        <f>IF(OR(F29&lt;'EDA Analysis'!$B$22,F29&gt;'EDA Analysis'!$B$23),"OUTLIER","Normal")</f>
        <v>Normal</v>
      </c>
      <c r="P29" t="str">
        <f>IF(OR(N29&lt;'EDA Analysis'!$E$6,N29&gt;'EDA Analysis'!$E$7),"OUTLIER","Normal")</f>
        <v>Normal</v>
      </c>
    </row>
    <row r="30" spans="1:16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  <c r="O30" t="str">
        <f>IF(OR(F30&lt;'EDA Analysis'!$B$22,F30&gt;'EDA Analysis'!$B$23),"OUTLIER","Normal")</f>
        <v>Normal</v>
      </c>
      <c r="P30" t="str">
        <f>IF(OR(N30&lt;'EDA Analysis'!$E$6,N30&gt;'EDA Analysis'!$E$7),"OUTLIER","Normal")</f>
        <v>Normal</v>
      </c>
    </row>
    <row r="31" spans="1:16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  <c r="O31" t="str">
        <f>IF(OR(F31&lt;'EDA Analysis'!$B$22,F31&gt;'EDA Analysis'!$B$23),"OUTLIER","Normal")</f>
        <v>Normal</v>
      </c>
      <c r="P31" t="str">
        <f>IF(OR(N31&lt;'EDA Analysis'!$E$6,N31&gt;'EDA Analysis'!$E$7),"OUTLIER","Normal")</f>
        <v>Normal</v>
      </c>
    </row>
    <row r="32" spans="1:16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  <c r="O32" t="str">
        <f>IF(OR(F32&lt;'EDA Analysis'!$B$22,F32&gt;'EDA Analysis'!$B$23),"OUTLIER","Normal")</f>
        <v>Normal</v>
      </c>
      <c r="P32" t="str">
        <f>IF(OR(N32&lt;'EDA Analysis'!$E$6,N32&gt;'EDA Analysis'!$E$7),"OUTLIER","Normal")</f>
        <v>Normal</v>
      </c>
    </row>
    <row r="33" spans="1:16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  <c r="O33" t="str">
        <f>IF(OR(F33&lt;'EDA Analysis'!$B$22,F33&gt;'EDA Analysis'!$B$23),"OUTLIER","Normal")</f>
        <v>Normal</v>
      </c>
      <c r="P33" t="str">
        <f>IF(OR(N33&lt;'EDA Analysis'!$E$6,N33&gt;'EDA Analysis'!$E$7),"OUTLIER","Normal")</f>
        <v>Normal</v>
      </c>
    </row>
    <row r="34" spans="1:16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  <c r="O34" t="str">
        <f>IF(OR(F34&lt;'EDA Analysis'!$B$22,F34&gt;'EDA Analysis'!$B$23),"OUTLIER","Normal")</f>
        <v>Normal</v>
      </c>
      <c r="P34" t="str">
        <f>IF(OR(N34&lt;'EDA Analysis'!$E$6,N34&gt;'EDA Analysis'!$E$7),"OUTLIER","Normal")</f>
        <v>Normal</v>
      </c>
    </row>
    <row r="35" spans="1:16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  <c r="O35" t="str">
        <f>IF(OR(F35&lt;'EDA Analysis'!$B$22,F35&gt;'EDA Analysis'!$B$23),"OUTLIER","Normal")</f>
        <v>Normal</v>
      </c>
      <c r="P35" t="str">
        <f>IF(OR(N35&lt;'EDA Analysis'!$E$6,N35&gt;'EDA Analysis'!$E$7),"OUTLIER","Normal")</f>
        <v>Normal</v>
      </c>
    </row>
    <row r="36" spans="1:16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  <c r="O36" t="str">
        <f>IF(OR(F36&lt;'EDA Analysis'!$B$22,F36&gt;'EDA Analysis'!$B$23),"OUTLIER","Normal")</f>
        <v>Normal</v>
      </c>
      <c r="P36" t="str">
        <f>IF(OR(N36&lt;'EDA Analysis'!$E$6,N36&gt;'EDA Analysis'!$E$7),"OUTLIER","Normal")</f>
        <v>Normal</v>
      </c>
    </row>
    <row r="37" spans="1:16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  <c r="O37" t="str">
        <f>IF(OR(F37&lt;'EDA Analysis'!$B$22,F37&gt;'EDA Analysis'!$B$23),"OUTLIER","Normal")</f>
        <v>Normal</v>
      </c>
      <c r="P37" t="str">
        <f>IF(OR(N37&lt;'EDA Analysis'!$E$6,N37&gt;'EDA Analysis'!$E$7),"OUTLIER","Normal")</f>
        <v>Normal</v>
      </c>
    </row>
    <row r="38" spans="1:16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  <c r="O38" t="str">
        <f>IF(OR(F38&lt;'EDA Analysis'!$B$22,F38&gt;'EDA Analysis'!$B$23),"OUTLIER","Normal")</f>
        <v>Normal</v>
      </c>
      <c r="P38" t="str">
        <f>IF(OR(N38&lt;'EDA Analysis'!$E$6,N38&gt;'EDA Analysis'!$E$7),"OUTLIER","Normal")</f>
        <v>Normal</v>
      </c>
    </row>
    <row r="39" spans="1:16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  <c r="O39" t="str">
        <f>IF(OR(F39&lt;'EDA Analysis'!$B$22,F39&gt;'EDA Analysis'!$B$23),"OUTLIER","Normal")</f>
        <v>Normal</v>
      </c>
      <c r="P39" t="str">
        <f>IF(OR(N39&lt;'EDA Analysis'!$E$6,N39&gt;'EDA Analysis'!$E$7),"OUTLIER","Normal")</f>
        <v>Normal</v>
      </c>
    </row>
    <row r="40" spans="1:16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  <c r="O40" t="str">
        <f>IF(OR(F40&lt;'EDA Analysis'!$B$22,F40&gt;'EDA Analysis'!$B$23),"OUTLIER","Normal")</f>
        <v>Normal</v>
      </c>
      <c r="P40" t="str">
        <f>IF(OR(N40&lt;'EDA Analysis'!$E$6,N40&gt;'EDA Analysis'!$E$7),"OUTLIER","Normal")</f>
        <v>Normal</v>
      </c>
    </row>
    <row r="41" spans="1:16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  <c r="O41" t="str">
        <f>IF(OR(F41&lt;'EDA Analysis'!$B$22,F41&gt;'EDA Analysis'!$B$23),"OUTLIER","Normal")</f>
        <v>Normal</v>
      </c>
      <c r="P41" t="str">
        <f>IF(OR(N41&lt;'EDA Analysis'!$E$6,N41&gt;'EDA Analysis'!$E$7),"OUTLIER","Normal")</f>
        <v>Normal</v>
      </c>
    </row>
    <row r="42" spans="1:16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  <c r="O42" t="str">
        <f>IF(OR(F42&lt;'EDA Analysis'!$B$22,F42&gt;'EDA Analysis'!$B$23),"OUTLIER","Normal")</f>
        <v>Normal</v>
      </c>
      <c r="P42" t="str">
        <f>IF(OR(N42&lt;'EDA Analysis'!$E$6,N42&gt;'EDA Analysis'!$E$7),"OUTLIER","Normal")</f>
        <v>Normal</v>
      </c>
    </row>
    <row r="43" spans="1:16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  <c r="O43" t="str">
        <f>IF(OR(F43&lt;'EDA Analysis'!$B$22,F43&gt;'EDA Analysis'!$B$23),"OUTLIER","Normal")</f>
        <v>Normal</v>
      </c>
      <c r="P43" t="str">
        <f>IF(OR(N43&lt;'EDA Analysis'!$E$6,N43&gt;'EDA Analysis'!$E$7),"OUTLIER","Normal")</f>
        <v>Normal</v>
      </c>
    </row>
    <row r="44" spans="1:16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  <c r="O44" t="str">
        <f>IF(OR(F44&lt;'EDA Analysis'!$B$22,F44&gt;'EDA Analysis'!$B$23),"OUTLIER","Normal")</f>
        <v>Normal</v>
      </c>
      <c r="P44" t="str">
        <f>IF(OR(N44&lt;'EDA Analysis'!$E$6,N44&gt;'EDA Analysis'!$E$7),"OUTLIER","Normal")</f>
        <v>Normal</v>
      </c>
    </row>
    <row r="45" spans="1:16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  <c r="O45" t="str">
        <f>IF(OR(F45&lt;'EDA Analysis'!$B$22,F45&gt;'EDA Analysis'!$B$23),"OUTLIER","Normal")</f>
        <v>Normal</v>
      </c>
      <c r="P45" t="str">
        <f>IF(OR(N45&lt;'EDA Analysis'!$E$6,N45&gt;'EDA Analysis'!$E$7),"OUTLIER","Normal")</f>
        <v>Normal</v>
      </c>
    </row>
    <row r="46" spans="1:16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  <c r="O46" t="str">
        <f>IF(OR(F46&lt;'EDA Analysis'!$B$22,F46&gt;'EDA Analysis'!$B$23),"OUTLIER","Normal")</f>
        <v>Normal</v>
      </c>
      <c r="P46" t="str">
        <f>IF(OR(N46&lt;'EDA Analysis'!$E$6,N46&gt;'EDA Analysis'!$E$7),"OUTLIER","Normal")</f>
        <v>Normal</v>
      </c>
    </row>
    <row r="47" spans="1:16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  <c r="O47" t="str">
        <f>IF(OR(F47&lt;'EDA Analysis'!$B$22,F47&gt;'EDA Analysis'!$B$23),"OUTLIER","Normal")</f>
        <v>Normal</v>
      </c>
      <c r="P47" t="str">
        <f>IF(OR(N47&lt;'EDA Analysis'!$E$6,N47&gt;'EDA Analysis'!$E$7),"OUTLIER","Normal")</f>
        <v>Normal</v>
      </c>
    </row>
    <row r="48" spans="1:16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  <c r="O48" t="str">
        <f>IF(OR(F48&lt;'EDA Analysis'!$B$22,F48&gt;'EDA Analysis'!$B$23),"OUTLIER","Normal")</f>
        <v>Normal</v>
      </c>
      <c r="P48" t="str">
        <f>IF(OR(N48&lt;'EDA Analysis'!$E$6,N48&gt;'EDA Analysis'!$E$7),"OUTLIER","Normal")</f>
        <v>Normal</v>
      </c>
    </row>
    <row r="49" spans="1:16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  <c r="O49" t="str">
        <f>IF(OR(F49&lt;'EDA Analysis'!$B$22,F49&gt;'EDA Analysis'!$B$23),"OUTLIER","Normal")</f>
        <v>Normal</v>
      </c>
      <c r="P49" t="str">
        <f>IF(OR(N49&lt;'EDA Analysis'!$E$6,N49&gt;'EDA Analysis'!$E$7),"OUTLIER","Normal")</f>
        <v>Normal</v>
      </c>
    </row>
    <row r="50" spans="1:16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  <c r="O50" t="str">
        <f>IF(OR(F50&lt;'EDA Analysis'!$B$22,F50&gt;'EDA Analysis'!$B$23),"OUTLIER","Normal")</f>
        <v>Normal</v>
      </c>
      <c r="P50" t="str">
        <f>IF(OR(N50&lt;'EDA Analysis'!$E$6,N50&gt;'EDA Analysis'!$E$7),"OUTLIER","Normal")</f>
        <v>Normal</v>
      </c>
    </row>
    <row r="51" spans="1:16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  <c r="O51" t="str">
        <f>IF(OR(F51&lt;'EDA Analysis'!$B$22,F51&gt;'EDA Analysis'!$B$23),"OUTLIER","Normal")</f>
        <v>Normal</v>
      </c>
      <c r="P51" t="str">
        <f>IF(OR(N51&lt;'EDA Analysis'!$E$6,N51&gt;'EDA Analysis'!$E$7),"OUTLIER","Normal")</f>
        <v>Normal</v>
      </c>
    </row>
    <row r="52" spans="1:16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  <c r="O52" t="str">
        <f>IF(OR(F52&lt;'EDA Analysis'!$B$22,F52&gt;'EDA Analysis'!$B$23),"OUTLIER","Normal")</f>
        <v>Normal</v>
      </c>
      <c r="P52" t="str">
        <f>IF(OR(N52&lt;'EDA Analysis'!$E$6,N52&gt;'EDA Analysis'!$E$7),"OUTLIER","Normal")</f>
        <v>Normal</v>
      </c>
    </row>
    <row r="53" spans="1:16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  <c r="O53" t="str">
        <f>IF(OR(F53&lt;'EDA Analysis'!$B$22,F53&gt;'EDA Analysis'!$B$23),"OUTLIER","Normal")</f>
        <v>Normal</v>
      </c>
      <c r="P53" t="str">
        <f>IF(OR(N53&lt;'EDA Analysis'!$E$6,N53&gt;'EDA Analysis'!$E$7),"OUTLIER","Normal")</f>
        <v>Normal</v>
      </c>
    </row>
    <row r="54" spans="1:16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  <c r="O54" t="str">
        <f>IF(OR(F54&lt;'EDA Analysis'!$B$22,F54&gt;'EDA Analysis'!$B$23),"OUTLIER","Normal")</f>
        <v>Normal</v>
      </c>
      <c r="P54" t="str">
        <f>IF(OR(N54&lt;'EDA Analysis'!$E$6,N54&gt;'EDA Analysis'!$E$7),"OUTLIER","Normal")</f>
        <v>Normal</v>
      </c>
    </row>
    <row r="55" spans="1:16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  <c r="O55" t="str">
        <f>IF(OR(F55&lt;'EDA Analysis'!$B$22,F55&gt;'EDA Analysis'!$B$23),"OUTLIER","Normal")</f>
        <v>Normal</v>
      </c>
      <c r="P55" t="str">
        <f>IF(OR(N55&lt;'EDA Analysis'!$E$6,N55&gt;'EDA Analysis'!$E$7),"OUTLIER","Normal")</f>
        <v>Normal</v>
      </c>
    </row>
    <row r="56" spans="1:16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  <c r="O56" t="str">
        <f>IF(OR(F56&lt;'EDA Analysis'!$B$22,F56&gt;'EDA Analysis'!$B$23),"OUTLIER","Normal")</f>
        <v>Normal</v>
      </c>
      <c r="P56" t="str">
        <f>IF(OR(N56&lt;'EDA Analysis'!$E$6,N56&gt;'EDA Analysis'!$E$7),"OUTLIER","Normal")</f>
        <v>Normal</v>
      </c>
    </row>
    <row r="57" spans="1:16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  <c r="O57" t="str">
        <f>IF(OR(F57&lt;'EDA Analysis'!$B$22,F57&gt;'EDA Analysis'!$B$23),"OUTLIER","Normal")</f>
        <v>Normal</v>
      </c>
      <c r="P57" t="str">
        <f>IF(OR(N57&lt;'EDA Analysis'!$E$6,N57&gt;'EDA Analysis'!$E$7),"OUTLIER","Normal")</f>
        <v>Normal</v>
      </c>
    </row>
    <row r="58" spans="1:16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  <c r="O58" t="str">
        <f>IF(OR(F58&lt;'EDA Analysis'!$B$22,F58&gt;'EDA Analysis'!$B$23),"OUTLIER","Normal")</f>
        <v>Normal</v>
      </c>
      <c r="P58" t="str">
        <f>IF(OR(N58&lt;'EDA Analysis'!$E$6,N58&gt;'EDA Analysis'!$E$7),"OUTLIER","Normal")</f>
        <v>Normal</v>
      </c>
    </row>
    <row r="59" spans="1:16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  <c r="O59" t="str">
        <f>IF(OR(F59&lt;'EDA Analysis'!$B$22,F59&gt;'EDA Analysis'!$B$23),"OUTLIER","Normal")</f>
        <v>Normal</v>
      </c>
      <c r="P59" t="str">
        <f>IF(OR(N59&lt;'EDA Analysis'!$E$6,N59&gt;'EDA Analysis'!$E$7),"OUTLIER","Normal")</f>
        <v>Normal</v>
      </c>
    </row>
    <row r="60" spans="1:16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  <c r="O60" t="str">
        <f>IF(OR(F60&lt;'EDA Analysis'!$B$22,F60&gt;'EDA Analysis'!$B$23),"OUTLIER","Normal")</f>
        <v>Normal</v>
      </c>
      <c r="P60" t="str">
        <f>IF(OR(N60&lt;'EDA Analysis'!$E$6,N60&gt;'EDA Analysis'!$E$7),"OUTLIER","Normal")</f>
        <v>Normal</v>
      </c>
    </row>
    <row r="61" spans="1:16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  <c r="O61" t="str">
        <f>IF(OR(F61&lt;'EDA Analysis'!$B$22,F61&gt;'EDA Analysis'!$B$23),"OUTLIER","Normal")</f>
        <v>Normal</v>
      </c>
      <c r="P61" t="str">
        <f>IF(OR(N61&lt;'EDA Analysis'!$E$6,N61&gt;'EDA Analysis'!$E$7),"OUTLIER","Normal")</f>
        <v>Normal</v>
      </c>
    </row>
    <row r="62" spans="1:16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  <c r="O62" t="str">
        <f>IF(OR(F62&lt;'EDA Analysis'!$B$22,F62&gt;'EDA Analysis'!$B$23),"OUTLIER","Normal")</f>
        <v>Normal</v>
      </c>
      <c r="P62" t="str">
        <f>IF(OR(N62&lt;'EDA Analysis'!$E$6,N62&gt;'EDA Analysis'!$E$7),"OUTLIER","Normal")</f>
        <v>Normal</v>
      </c>
    </row>
    <row r="63" spans="1:16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  <c r="O63" t="str">
        <f>IF(OR(F63&lt;'EDA Analysis'!$B$22,F63&gt;'EDA Analysis'!$B$23),"OUTLIER","Normal")</f>
        <v>Normal</v>
      </c>
      <c r="P63" t="str">
        <f>IF(OR(N63&lt;'EDA Analysis'!$E$6,N63&gt;'EDA Analysis'!$E$7),"OUTLIER","Normal")</f>
        <v>Normal</v>
      </c>
    </row>
    <row r="64" spans="1:16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  <c r="O64" t="str">
        <f>IF(OR(F64&lt;'EDA Analysis'!$B$22,F64&gt;'EDA Analysis'!$B$23),"OUTLIER","Normal")</f>
        <v>Normal</v>
      </c>
      <c r="P64" t="str">
        <f>IF(OR(N64&lt;'EDA Analysis'!$E$6,N64&gt;'EDA Analysis'!$E$7),"OUTLIER","Normal")</f>
        <v>Normal</v>
      </c>
    </row>
    <row r="65" spans="1:16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  <c r="O65" t="str">
        <f>IF(OR(F65&lt;'EDA Analysis'!$B$22,F65&gt;'EDA Analysis'!$B$23),"OUTLIER","Normal")</f>
        <v>Normal</v>
      </c>
      <c r="P65" t="str">
        <f>IF(OR(N65&lt;'EDA Analysis'!$E$6,N65&gt;'EDA Analysis'!$E$7),"OUTLIER","Normal")</f>
        <v>Normal</v>
      </c>
    </row>
    <row r="66" spans="1:16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  <c r="O66" t="str">
        <f>IF(OR(F66&lt;'EDA Analysis'!$B$22,F66&gt;'EDA Analysis'!$B$23),"OUTLIER","Normal")</f>
        <v>Normal</v>
      </c>
      <c r="P66" t="str">
        <f>IF(OR(N66&lt;'EDA Analysis'!$E$6,N66&gt;'EDA Analysis'!$E$7),"OUTLIER","Normal")</f>
        <v>Normal</v>
      </c>
    </row>
    <row r="67" spans="1:16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  <c r="O67" t="str">
        <f>IF(OR(F67&lt;'EDA Analysis'!$B$22,F67&gt;'EDA Analysis'!$B$23),"OUTLIER","Normal")</f>
        <v>Normal</v>
      </c>
      <c r="P67" t="str">
        <f>IF(OR(N67&lt;'EDA Analysis'!$E$6,N67&gt;'EDA Analysis'!$E$7),"OUTLIER","Normal")</f>
        <v>Normal</v>
      </c>
    </row>
    <row r="68" spans="1:16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  <c r="O68" t="str">
        <f>IF(OR(F68&lt;'EDA Analysis'!$B$22,F68&gt;'EDA Analysis'!$B$23),"OUTLIER","Normal")</f>
        <v>Normal</v>
      </c>
      <c r="P68" t="str">
        <f>IF(OR(N68&lt;'EDA Analysis'!$E$6,N68&gt;'EDA Analysis'!$E$7),"OUTLIER","Normal")</f>
        <v>Normal</v>
      </c>
    </row>
    <row r="69" spans="1:16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  <c r="O69" t="str">
        <f>IF(OR(F69&lt;'EDA Analysis'!$B$22,F69&gt;'EDA Analysis'!$B$23),"OUTLIER","Normal")</f>
        <v>Normal</v>
      </c>
      <c r="P69" t="str">
        <f>IF(OR(N69&lt;'EDA Analysis'!$E$6,N69&gt;'EDA Analysis'!$E$7),"OUTLIER","Normal")</f>
        <v>Normal</v>
      </c>
    </row>
    <row r="70" spans="1:16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  <c r="O70" t="str">
        <f>IF(OR(F70&lt;'EDA Analysis'!$B$22,F70&gt;'EDA Analysis'!$B$23),"OUTLIER","Normal")</f>
        <v>Normal</v>
      </c>
      <c r="P70" t="str">
        <f>IF(OR(N70&lt;'EDA Analysis'!$E$6,N70&gt;'EDA Analysis'!$E$7),"OUTLIER","Normal")</f>
        <v>Normal</v>
      </c>
    </row>
    <row r="71" spans="1:16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  <c r="O71" t="str">
        <f>IF(OR(F71&lt;'EDA Analysis'!$B$22,F71&gt;'EDA Analysis'!$B$23),"OUTLIER","Normal")</f>
        <v>Normal</v>
      </c>
      <c r="P71" t="str">
        <f>IF(OR(N71&lt;'EDA Analysis'!$E$6,N71&gt;'EDA Analysis'!$E$7),"OUTLIER","Normal")</f>
        <v>Normal</v>
      </c>
    </row>
    <row r="72" spans="1:16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  <c r="O72" t="str">
        <f>IF(OR(F72&lt;'EDA Analysis'!$B$22,F72&gt;'EDA Analysis'!$B$23),"OUTLIER","Normal")</f>
        <v>Normal</v>
      </c>
      <c r="P72" t="str">
        <f>IF(OR(N72&lt;'EDA Analysis'!$E$6,N72&gt;'EDA Analysis'!$E$7),"OUTLIER","Normal")</f>
        <v>Normal</v>
      </c>
    </row>
    <row r="73" spans="1:16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  <c r="O73" t="str">
        <f>IF(OR(F73&lt;'EDA Analysis'!$B$22,F73&gt;'EDA Analysis'!$B$23),"OUTLIER","Normal")</f>
        <v>Normal</v>
      </c>
      <c r="P73" t="str">
        <f>IF(OR(N73&lt;'EDA Analysis'!$E$6,N73&gt;'EDA Analysis'!$E$7),"OUTLIER","Normal")</f>
        <v>Normal</v>
      </c>
    </row>
    <row r="74" spans="1:16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  <c r="O74" t="str">
        <f>IF(OR(F74&lt;'EDA Analysis'!$B$22,F74&gt;'EDA Analysis'!$B$23),"OUTLIER","Normal")</f>
        <v>Normal</v>
      </c>
      <c r="P74" t="str">
        <f>IF(OR(N74&lt;'EDA Analysis'!$E$6,N74&gt;'EDA Analysis'!$E$7),"OUTLIER","Normal")</f>
        <v>Normal</v>
      </c>
    </row>
    <row r="75" spans="1:16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  <c r="O75" t="str">
        <f>IF(OR(F75&lt;'EDA Analysis'!$B$22,F75&gt;'EDA Analysis'!$B$23),"OUTLIER","Normal")</f>
        <v>Normal</v>
      </c>
      <c r="P75" t="str">
        <f>IF(OR(N75&lt;'EDA Analysis'!$E$6,N75&gt;'EDA Analysis'!$E$7),"OUTLIER","Normal")</f>
        <v>Normal</v>
      </c>
    </row>
    <row r="76" spans="1:16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  <c r="O76" t="str">
        <f>IF(OR(F76&lt;'EDA Analysis'!$B$22,F76&gt;'EDA Analysis'!$B$23),"OUTLIER","Normal")</f>
        <v>Normal</v>
      </c>
      <c r="P76" t="str">
        <f>IF(OR(N76&lt;'EDA Analysis'!$E$6,N76&gt;'EDA Analysis'!$E$7),"OUTLIER","Normal")</f>
        <v>Normal</v>
      </c>
    </row>
    <row r="77" spans="1:16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  <c r="O77" t="str">
        <f>IF(OR(F77&lt;'EDA Analysis'!$B$22,F77&gt;'EDA Analysis'!$B$23),"OUTLIER","Normal")</f>
        <v>Normal</v>
      </c>
      <c r="P77" t="str">
        <f>IF(OR(N77&lt;'EDA Analysis'!$E$6,N77&gt;'EDA Analysis'!$E$7),"OUTLIER","Normal")</f>
        <v>Normal</v>
      </c>
    </row>
    <row r="78" spans="1:16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  <c r="O78" t="str">
        <f>IF(OR(F78&lt;'EDA Analysis'!$B$22,F78&gt;'EDA Analysis'!$B$23),"OUTLIER","Normal")</f>
        <v>Normal</v>
      </c>
      <c r="P78" t="str">
        <f>IF(OR(N78&lt;'EDA Analysis'!$E$6,N78&gt;'EDA Analysis'!$E$7),"OUTLIER","Normal")</f>
        <v>Normal</v>
      </c>
    </row>
    <row r="79" spans="1:16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  <c r="O79" t="str">
        <f>IF(OR(F79&lt;'EDA Analysis'!$B$22,F79&gt;'EDA Analysis'!$B$23),"OUTLIER","Normal")</f>
        <v>Normal</v>
      </c>
      <c r="P79" t="str">
        <f>IF(OR(N79&lt;'EDA Analysis'!$E$6,N79&gt;'EDA Analysis'!$E$7),"OUTLIER","Normal")</f>
        <v>Normal</v>
      </c>
    </row>
    <row r="80" spans="1:16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  <c r="O80" t="str">
        <f>IF(OR(F80&lt;'EDA Analysis'!$B$22,F80&gt;'EDA Analysis'!$B$23),"OUTLIER","Normal")</f>
        <v>Normal</v>
      </c>
      <c r="P80" t="str">
        <f>IF(OR(N80&lt;'EDA Analysis'!$E$6,N80&gt;'EDA Analysis'!$E$7),"OUTLIER","Normal")</f>
        <v>Normal</v>
      </c>
    </row>
    <row r="81" spans="1:16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  <c r="O81" t="str">
        <f>IF(OR(F81&lt;'EDA Analysis'!$B$22,F81&gt;'EDA Analysis'!$B$23),"OUTLIER","Normal")</f>
        <v>Normal</v>
      </c>
      <c r="P81" t="str">
        <f>IF(OR(N81&lt;'EDA Analysis'!$E$6,N81&gt;'EDA Analysis'!$E$7),"OUTLIER","Normal")</f>
        <v>Normal</v>
      </c>
    </row>
    <row r="82" spans="1:16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  <c r="O82" t="str">
        <f>IF(OR(F82&lt;'EDA Analysis'!$B$22,F82&gt;'EDA Analysis'!$B$23),"OUTLIER","Normal")</f>
        <v>Normal</v>
      </c>
      <c r="P82" t="str">
        <f>IF(OR(N82&lt;'EDA Analysis'!$E$6,N82&gt;'EDA Analysis'!$E$7),"OUTLIER","Normal")</f>
        <v>Normal</v>
      </c>
    </row>
    <row r="83" spans="1:16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  <c r="O83" t="str">
        <f>IF(OR(F83&lt;'EDA Analysis'!$B$22,F83&gt;'EDA Analysis'!$B$23),"OUTLIER","Normal")</f>
        <v>Normal</v>
      </c>
      <c r="P83" t="str">
        <f>IF(OR(N83&lt;'EDA Analysis'!$E$6,N83&gt;'EDA Analysis'!$E$7),"OUTLIER","Normal")</f>
        <v>Normal</v>
      </c>
    </row>
    <row r="84" spans="1:16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  <c r="O84" t="str">
        <f>IF(OR(F84&lt;'EDA Analysis'!$B$22,F84&gt;'EDA Analysis'!$B$23),"OUTLIER","Normal")</f>
        <v>Normal</v>
      </c>
      <c r="P84" t="str">
        <f>IF(OR(N84&lt;'EDA Analysis'!$E$6,N84&gt;'EDA Analysis'!$E$7),"OUTLIER","Normal")</f>
        <v>Normal</v>
      </c>
    </row>
    <row r="85" spans="1:16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  <c r="O85" t="str">
        <f>IF(OR(F85&lt;'EDA Analysis'!$B$22,F85&gt;'EDA Analysis'!$B$23),"OUTLIER","Normal")</f>
        <v>Normal</v>
      </c>
      <c r="P85" t="str">
        <f>IF(OR(N85&lt;'EDA Analysis'!$E$6,N85&gt;'EDA Analysis'!$E$7),"OUTLIER","Normal")</f>
        <v>Normal</v>
      </c>
    </row>
    <row r="86" spans="1:16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  <c r="O86" t="str">
        <f>IF(OR(F86&lt;'EDA Analysis'!$B$22,F86&gt;'EDA Analysis'!$B$23),"OUTLIER","Normal")</f>
        <v>Normal</v>
      </c>
      <c r="P86" t="str">
        <f>IF(OR(N86&lt;'EDA Analysis'!$E$6,N86&gt;'EDA Analysis'!$E$7),"OUTLIER","Normal")</f>
        <v>Normal</v>
      </c>
    </row>
    <row r="87" spans="1:16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  <c r="O87" t="str">
        <f>IF(OR(F87&lt;'EDA Analysis'!$B$22,F87&gt;'EDA Analysis'!$B$23),"OUTLIER","Normal")</f>
        <v>Normal</v>
      </c>
      <c r="P87" t="str">
        <f>IF(OR(N87&lt;'EDA Analysis'!$E$6,N87&gt;'EDA Analysis'!$E$7),"OUTLIER","Normal")</f>
        <v>Normal</v>
      </c>
    </row>
    <row r="88" spans="1:16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  <c r="O88" t="str">
        <f>IF(OR(F88&lt;'EDA Analysis'!$B$22,F88&gt;'EDA Analysis'!$B$23),"OUTLIER","Normal")</f>
        <v>Normal</v>
      </c>
      <c r="P88" t="str">
        <f>IF(OR(N88&lt;'EDA Analysis'!$E$6,N88&gt;'EDA Analysis'!$E$7),"OUTLIER","Normal")</f>
        <v>Normal</v>
      </c>
    </row>
    <row r="89" spans="1:16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  <c r="O89" t="str">
        <f>IF(OR(F89&lt;'EDA Analysis'!$B$22,F89&gt;'EDA Analysis'!$B$23),"OUTLIER","Normal")</f>
        <v>Normal</v>
      </c>
      <c r="P89" t="str">
        <f>IF(OR(N89&lt;'EDA Analysis'!$E$6,N89&gt;'EDA Analysis'!$E$7),"OUTLIER","Normal")</f>
        <v>Normal</v>
      </c>
    </row>
    <row r="90" spans="1:16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  <c r="O90" t="str">
        <f>IF(OR(F90&lt;'EDA Analysis'!$B$22,F90&gt;'EDA Analysis'!$B$23),"OUTLIER","Normal")</f>
        <v>Normal</v>
      </c>
      <c r="P90" t="str">
        <f>IF(OR(N90&lt;'EDA Analysis'!$E$6,N90&gt;'EDA Analysis'!$E$7),"OUTLIER","Normal")</f>
        <v>Normal</v>
      </c>
    </row>
    <row r="91" spans="1:16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  <c r="O91" t="str">
        <f>IF(OR(F91&lt;'EDA Analysis'!$B$22,F91&gt;'EDA Analysis'!$B$23),"OUTLIER","Normal")</f>
        <v>Normal</v>
      </c>
      <c r="P91" t="str">
        <f>IF(OR(N91&lt;'EDA Analysis'!$E$6,N91&gt;'EDA Analysis'!$E$7),"OUTLIER","Normal")</f>
        <v>Normal</v>
      </c>
    </row>
    <row r="92" spans="1:16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  <c r="O92" t="str">
        <f>IF(OR(F92&lt;'EDA Analysis'!$B$22,F92&gt;'EDA Analysis'!$B$23),"OUTLIER","Normal")</f>
        <v>Normal</v>
      </c>
      <c r="P92" t="str">
        <f>IF(OR(N92&lt;'EDA Analysis'!$E$6,N92&gt;'EDA Analysis'!$E$7),"OUTLIER","Normal")</f>
        <v>Normal</v>
      </c>
    </row>
    <row r="93" spans="1:16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  <c r="O93" t="str">
        <f>IF(OR(F93&lt;'EDA Analysis'!$B$22,F93&gt;'EDA Analysis'!$B$23),"OUTLIER","Normal")</f>
        <v>Normal</v>
      </c>
      <c r="P93" t="str">
        <f>IF(OR(N93&lt;'EDA Analysis'!$E$6,N93&gt;'EDA Analysis'!$E$7),"OUTLIER","Normal")</f>
        <v>Normal</v>
      </c>
    </row>
    <row r="94" spans="1:16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  <c r="O94" t="str">
        <f>IF(OR(F94&lt;'EDA Analysis'!$B$22,F94&gt;'EDA Analysis'!$B$23),"OUTLIER","Normal")</f>
        <v>Normal</v>
      </c>
      <c r="P94" t="str">
        <f>IF(OR(N94&lt;'EDA Analysis'!$E$6,N94&gt;'EDA Analysis'!$E$7),"OUTLIER","Normal")</f>
        <v>Normal</v>
      </c>
    </row>
    <row r="95" spans="1:16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  <c r="O95" t="str">
        <f>IF(OR(F95&lt;'EDA Analysis'!$B$22,F95&gt;'EDA Analysis'!$B$23),"OUTLIER","Normal")</f>
        <v>Normal</v>
      </c>
      <c r="P95" t="str">
        <f>IF(OR(N95&lt;'EDA Analysis'!$E$6,N95&gt;'EDA Analysis'!$E$7),"OUTLIER","Normal")</f>
        <v>Normal</v>
      </c>
    </row>
    <row r="96" spans="1:16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  <c r="O96" t="str">
        <f>IF(OR(F96&lt;'EDA Analysis'!$B$22,F96&gt;'EDA Analysis'!$B$23),"OUTLIER","Normal")</f>
        <v>Normal</v>
      </c>
      <c r="P96" t="str">
        <f>IF(OR(N96&lt;'EDA Analysis'!$E$6,N96&gt;'EDA Analysis'!$E$7),"OUTLIER","Normal")</f>
        <v>Normal</v>
      </c>
    </row>
    <row r="97" spans="1:16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  <c r="O97" t="str">
        <f>IF(OR(F97&lt;'EDA Analysis'!$B$22,F97&gt;'EDA Analysis'!$B$23),"OUTLIER","Normal")</f>
        <v>Normal</v>
      </c>
      <c r="P97" t="str">
        <f>IF(OR(N97&lt;'EDA Analysis'!$E$6,N97&gt;'EDA Analysis'!$E$7),"OUTLIER","Normal")</f>
        <v>Normal</v>
      </c>
    </row>
    <row r="98" spans="1:16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  <c r="O98" t="str">
        <f>IF(OR(F98&lt;'EDA Analysis'!$B$22,F98&gt;'EDA Analysis'!$B$23),"OUTLIER","Normal")</f>
        <v>Normal</v>
      </c>
      <c r="P98" t="str">
        <f>IF(OR(N98&lt;'EDA Analysis'!$E$6,N98&gt;'EDA Analysis'!$E$7),"OUTLIER","Normal")</f>
        <v>Normal</v>
      </c>
    </row>
    <row r="99" spans="1:16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  <c r="O99" t="str">
        <f>IF(OR(F99&lt;'EDA Analysis'!$B$22,F99&gt;'EDA Analysis'!$B$23),"OUTLIER","Normal")</f>
        <v>Normal</v>
      </c>
      <c r="P99" t="str">
        <f>IF(OR(N99&lt;'EDA Analysis'!$E$6,N99&gt;'EDA Analysis'!$E$7),"OUTLIER","Normal")</f>
        <v>Normal</v>
      </c>
    </row>
    <row r="100" spans="1:16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  <c r="O100" t="str">
        <f>IF(OR(F100&lt;'EDA Analysis'!$B$22,F100&gt;'EDA Analysis'!$B$23),"OUTLIER","Normal")</f>
        <v>Normal</v>
      </c>
      <c r="P100" t="str">
        <f>IF(OR(N100&lt;'EDA Analysis'!$E$6,N100&gt;'EDA Analysis'!$E$7),"OUTLIER","Normal")</f>
        <v>Normal</v>
      </c>
    </row>
    <row r="101" spans="1:16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  <c r="O101" t="str">
        <f>IF(OR(F101&lt;'EDA Analysis'!$B$22,F101&gt;'EDA Analysis'!$B$23),"OUTLIER","Normal")</f>
        <v>Normal</v>
      </c>
      <c r="P101" t="str">
        <f>IF(OR(N101&lt;'EDA Analysis'!$E$6,N101&gt;'EDA Analysis'!$E$7),"OUTLIER","Normal")</f>
        <v>Normal</v>
      </c>
    </row>
    <row r="102" spans="1:16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  <c r="O102" t="str">
        <f>IF(OR(F102&lt;'EDA Analysis'!$B$22,F102&gt;'EDA Analysis'!$B$23),"OUTLIER","Normal")</f>
        <v>Normal</v>
      </c>
      <c r="P102" t="str">
        <f>IF(OR(N102&lt;'EDA Analysis'!$E$6,N102&gt;'EDA Analysis'!$E$7),"OUTLIER","Normal")</f>
        <v>Normal</v>
      </c>
    </row>
    <row r="103" spans="1:16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  <c r="O103" t="str">
        <f>IF(OR(F103&lt;'EDA Analysis'!$B$22,F103&gt;'EDA Analysis'!$B$23),"OUTLIER","Normal")</f>
        <v>Normal</v>
      </c>
      <c r="P103" t="str">
        <f>IF(OR(N103&lt;'EDA Analysis'!$E$6,N103&gt;'EDA Analysis'!$E$7),"OUTLIER","Normal")</f>
        <v>Normal</v>
      </c>
    </row>
    <row r="104" spans="1:16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  <c r="O104" t="str">
        <f>IF(OR(F104&lt;'EDA Analysis'!$B$22,F104&gt;'EDA Analysis'!$B$23),"OUTLIER","Normal")</f>
        <v>Normal</v>
      </c>
      <c r="P104" t="str">
        <f>IF(OR(N104&lt;'EDA Analysis'!$E$6,N104&gt;'EDA Analysis'!$E$7),"OUTLIER","Normal")</f>
        <v>Normal</v>
      </c>
    </row>
    <row r="105" spans="1:16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  <c r="O105" t="str">
        <f>IF(OR(F105&lt;'EDA Analysis'!$B$22,F105&gt;'EDA Analysis'!$B$23),"OUTLIER","Normal")</f>
        <v>Normal</v>
      </c>
      <c r="P105" t="str">
        <f>IF(OR(N105&lt;'EDA Analysis'!$E$6,N105&gt;'EDA Analysis'!$E$7),"OUTLIER","Normal")</f>
        <v>Normal</v>
      </c>
    </row>
    <row r="106" spans="1:16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  <c r="O106" t="str">
        <f>IF(OR(F106&lt;'EDA Analysis'!$B$22,F106&gt;'EDA Analysis'!$B$23),"OUTLIER","Normal")</f>
        <v>Normal</v>
      </c>
      <c r="P106" t="str">
        <f>IF(OR(N106&lt;'EDA Analysis'!$E$6,N106&gt;'EDA Analysis'!$E$7),"OUTLIER","Normal")</f>
        <v>Normal</v>
      </c>
    </row>
    <row r="107" spans="1:16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  <c r="O107" t="str">
        <f>IF(OR(F107&lt;'EDA Analysis'!$B$22,F107&gt;'EDA Analysis'!$B$23),"OUTLIER","Normal")</f>
        <v>Normal</v>
      </c>
      <c r="P107" t="str">
        <f>IF(OR(N107&lt;'EDA Analysis'!$E$6,N107&gt;'EDA Analysis'!$E$7),"OUTLIER","Normal")</f>
        <v>Normal</v>
      </c>
    </row>
    <row r="108" spans="1:16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  <c r="O108" t="str">
        <f>IF(OR(F108&lt;'EDA Analysis'!$B$22,F108&gt;'EDA Analysis'!$B$23),"OUTLIER","Normal")</f>
        <v>Normal</v>
      </c>
      <c r="P108" t="str">
        <f>IF(OR(N108&lt;'EDA Analysis'!$E$6,N108&gt;'EDA Analysis'!$E$7),"OUTLIER","Normal")</f>
        <v>Normal</v>
      </c>
    </row>
    <row r="109" spans="1:16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  <c r="O109" t="str">
        <f>IF(OR(F109&lt;'EDA Analysis'!$B$22,F109&gt;'EDA Analysis'!$B$23),"OUTLIER","Normal")</f>
        <v>Normal</v>
      </c>
      <c r="P109" t="str">
        <f>IF(OR(N109&lt;'EDA Analysis'!$E$6,N109&gt;'EDA Analysis'!$E$7),"OUTLIER","Normal")</f>
        <v>OUTLIER</v>
      </c>
    </row>
    <row r="110" spans="1:16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  <c r="O110" t="str">
        <f>IF(OR(F110&lt;'EDA Analysis'!$B$22,F110&gt;'EDA Analysis'!$B$23),"OUTLIER","Normal")</f>
        <v>Normal</v>
      </c>
      <c r="P110" t="str">
        <f>IF(OR(N110&lt;'EDA Analysis'!$E$6,N110&gt;'EDA Analysis'!$E$7),"OUTLIER","Normal")</f>
        <v>Normal</v>
      </c>
    </row>
    <row r="111" spans="1:16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  <c r="O111" t="str">
        <f>IF(OR(F111&lt;'EDA Analysis'!$B$22,F111&gt;'EDA Analysis'!$B$23),"OUTLIER","Normal")</f>
        <v>Normal</v>
      </c>
      <c r="P111" t="str">
        <f>IF(OR(N111&lt;'EDA Analysis'!$E$6,N111&gt;'EDA Analysis'!$E$7),"OUTLIER","Normal")</f>
        <v>Normal</v>
      </c>
    </row>
    <row r="112" spans="1:16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  <c r="O112" t="str">
        <f>IF(OR(F112&lt;'EDA Analysis'!$B$22,F112&gt;'EDA Analysis'!$B$23),"OUTLIER","Normal")</f>
        <v>Normal</v>
      </c>
      <c r="P112" t="str">
        <f>IF(OR(N112&lt;'EDA Analysis'!$E$6,N112&gt;'EDA Analysis'!$E$7),"OUTLIER","Normal")</f>
        <v>Normal</v>
      </c>
    </row>
    <row r="113" spans="1:16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  <c r="O113" t="str">
        <f>IF(OR(F113&lt;'EDA Analysis'!$B$22,F113&gt;'EDA Analysis'!$B$23),"OUTLIER","Normal")</f>
        <v>Normal</v>
      </c>
      <c r="P113" t="str">
        <f>IF(OR(N113&lt;'EDA Analysis'!$E$6,N113&gt;'EDA Analysis'!$E$7),"OUTLIER","Normal")</f>
        <v>Normal</v>
      </c>
    </row>
    <row r="114" spans="1:16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  <c r="O114" t="str">
        <f>IF(OR(F114&lt;'EDA Analysis'!$B$22,F114&gt;'EDA Analysis'!$B$23),"OUTLIER","Normal")</f>
        <v>Normal</v>
      </c>
      <c r="P114" t="str">
        <f>IF(OR(N114&lt;'EDA Analysis'!$E$6,N114&gt;'EDA Analysis'!$E$7),"OUTLIER","Normal")</f>
        <v>Normal</v>
      </c>
    </row>
    <row r="115" spans="1:16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  <c r="O115" t="str">
        <f>IF(OR(F115&lt;'EDA Analysis'!$B$22,F115&gt;'EDA Analysis'!$B$23),"OUTLIER","Normal")</f>
        <v>Normal</v>
      </c>
      <c r="P115" t="str">
        <f>IF(OR(N115&lt;'EDA Analysis'!$E$6,N115&gt;'EDA Analysis'!$E$7),"OUTLIER","Normal")</f>
        <v>Normal</v>
      </c>
    </row>
    <row r="116" spans="1:16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  <c r="O116" t="str">
        <f>IF(OR(F116&lt;'EDA Analysis'!$B$22,F116&gt;'EDA Analysis'!$B$23),"OUTLIER","Normal")</f>
        <v>Normal</v>
      </c>
      <c r="P116" t="str">
        <f>IF(OR(N116&lt;'EDA Analysis'!$E$6,N116&gt;'EDA Analysis'!$E$7),"OUTLIER","Normal")</f>
        <v>Normal</v>
      </c>
    </row>
    <row r="117" spans="1:16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  <c r="O117" t="str">
        <f>IF(OR(F117&lt;'EDA Analysis'!$B$22,F117&gt;'EDA Analysis'!$B$23),"OUTLIER","Normal")</f>
        <v>Normal</v>
      </c>
      <c r="P117" t="str">
        <f>IF(OR(N117&lt;'EDA Analysis'!$E$6,N117&gt;'EDA Analysis'!$E$7),"OUTLIER","Normal")</f>
        <v>Normal</v>
      </c>
    </row>
    <row r="118" spans="1:16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  <c r="O118" t="str">
        <f>IF(OR(F118&lt;'EDA Analysis'!$B$22,F118&gt;'EDA Analysis'!$B$23),"OUTLIER","Normal")</f>
        <v>Normal</v>
      </c>
      <c r="P118" t="str">
        <f>IF(OR(N118&lt;'EDA Analysis'!$E$6,N118&gt;'EDA Analysis'!$E$7),"OUTLIER","Normal")</f>
        <v>Normal</v>
      </c>
    </row>
    <row r="119" spans="1:16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  <c r="O119" t="str">
        <f>IF(OR(F119&lt;'EDA Analysis'!$B$22,F119&gt;'EDA Analysis'!$B$23),"OUTLIER","Normal")</f>
        <v>Normal</v>
      </c>
      <c r="P119" t="str">
        <f>IF(OR(N119&lt;'EDA Analysis'!$E$6,N119&gt;'EDA Analysis'!$E$7),"OUTLIER","Normal")</f>
        <v>Normal</v>
      </c>
    </row>
    <row r="120" spans="1:16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  <c r="O120" t="str">
        <f>IF(OR(F120&lt;'EDA Analysis'!$B$22,F120&gt;'EDA Analysis'!$B$23),"OUTLIER","Normal")</f>
        <v>Normal</v>
      </c>
      <c r="P120" t="str">
        <f>IF(OR(N120&lt;'EDA Analysis'!$E$6,N120&gt;'EDA Analysis'!$E$7),"OUTLIER","Normal")</f>
        <v>Normal</v>
      </c>
    </row>
    <row r="121" spans="1:16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  <c r="O121" t="str">
        <f>IF(OR(F121&lt;'EDA Analysis'!$B$22,F121&gt;'EDA Analysis'!$B$23),"OUTLIER","Normal")</f>
        <v>Normal</v>
      </c>
      <c r="P121" t="str">
        <f>IF(OR(N121&lt;'EDA Analysis'!$E$6,N121&gt;'EDA Analysis'!$E$7),"OUTLIER","Normal")</f>
        <v>Normal</v>
      </c>
    </row>
    <row r="122" spans="1:16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  <c r="O122" t="str">
        <f>IF(OR(F122&lt;'EDA Analysis'!$B$22,F122&gt;'EDA Analysis'!$B$23),"OUTLIER","Normal")</f>
        <v>Normal</v>
      </c>
      <c r="P122" t="str">
        <f>IF(OR(N122&lt;'EDA Analysis'!$E$6,N122&gt;'EDA Analysis'!$E$7),"OUTLIER","Normal")</f>
        <v>Normal</v>
      </c>
    </row>
    <row r="123" spans="1:16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  <c r="O123" t="str">
        <f>IF(OR(F123&lt;'EDA Analysis'!$B$22,F123&gt;'EDA Analysis'!$B$23),"OUTLIER","Normal")</f>
        <v>Normal</v>
      </c>
      <c r="P123" t="str">
        <f>IF(OR(N123&lt;'EDA Analysis'!$E$6,N123&gt;'EDA Analysis'!$E$7),"OUTLIER","Normal")</f>
        <v>Normal</v>
      </c>
    </row>
    <row r="124" spans="1:16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  <c r="O124" t="str">
        <f>IF(OR(F124&lt;'EDA Analysis'!$B$22,F124&gt;'EDA Analysis'!$B$23),"OUTLIER","Normal")</f>
        <v>Normal</v>
      </c>
      <c r="P124" t="str">
        <f>IF(OR(N124&lt;'EDA Analysis'!$E$6,N124&gt;'EDA Analysis'!$E$7),"OUTLIER","Normal")</f>
        <v>Normal</v>
      </c>
    </row>
    <row r="125" spans="1:16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  <c r="O125" t="str">
        <f>IF(OR(F125&lt;'EDA Analysis'!$B$22,F125&gt;'EDA Analysis'!$B$23),"OUTLIER","Normal")</f>
        <v>Normal</v>
      </c>
      <c r="P125" t="str">
        <f>IF(OR(N125&lt;'EDA Analysis'!$E$6,N125&gt;'EDA Analysis'!$E$7),"OUTLIER","Normal")</f>
        <v>Normal</v>
      </c>
    </row>
    <row r="126" spans="1:16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  <c r="O126" t="str">
        <f>IF(OR(F126&lt;'EDA Analysis'!$B$22,F126&gt;'EDA Analysis'!$B$23),"OUTLIER","Normal")</f>
        <v>Normal</v>
      </c>
      <c r="P126" t="str">
        <f>IF(OR(N126&lt;'EDA Analysis'!$E$6,N126&gt;'EDA Analysis'!$E$7),"OUTLIER","Normal")</f>
        <v>Normal</v>
      </c>
    </row>
    <row r="127" spans="1:16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  <c r="O127" t="str">
        <f>IF(OR(F127&lt;'EDA Analysis'!$B$22,F127&gt;'EDA Analysis'!$B$23),"OUTLIER","Normal")</f>
        <v>Normal</v>
      </c>
      <c r="P127" t="str">
        <f>IF(OR(N127&lt;'EDA Analysis'!$E$6,N127&gt;'EDA Analysis'!$E$7),"OUTLIER","Normal")</f>
        <v>Normal</v>
      </c>
    </row>
    <row r="128" spans="1:16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  <c r="O128" t="str">
        <f>IF(OR(F128&lt;'EDA Analysis'!$B$22,F128&gt;'EDA Analysis'!$B$23),"OUTLIER","Normal")</f>
        <v>Normal</v>
      </c>
      <c r="P128" t="str">
        <f>IF(OR(N128&lt;'EDA Analysis'!$E$6,N128&gt;'EDA Analysis'!$E$7),"OUTLIER","Normal")</f>
        <v>Normal</v>
      </c>
    </row>
    <row r="129" spans="1:16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  <c r="O129" t="str">
        <f>IF(OR(F129&lt;'EDA Analysis'!$B$22,F129&gt;'EDA Analysis'!$B$23),"OUTLIER","Normal")</f>
        <v>Normal</v>
      </c>
      <c r="P129" t="str">
        <f>IF(OR(N129&lt;'EDA Analysis'!$E$6,N129&gt;'EDA Analysis'!$E$7),"OUTLIER","Normal")</f>
        <v>Normal</v>
      </c>
    </row>
    <row r="130" spans="1:16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  <c r="O130" t="str">
        <f>IF(OR(F130&lt;'EDA Analysis'!$B$22,F130&gt;'EDA Analysis'!$B$23),"OUTLIER","Normal")</f>
        <v>Normal</v>
      </c>
      <c r="P130" t="str">
        <f>IF(OR(N130&lt;'EDA Analysis'!$E$6,N130&gt;'EDA Analysis'!$E$7),"OUTLIER","Normal")</f>
        <v>Normal</v>
      </c>
    </row>
    <row r="131" spans="1:16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  <c r="O131" t="str">
        <f>IF(OR(F131&lt;'EDA Analysis'!$B$22,F131&gt;'EDA Analysis'!$B$23),"OUTLIER","Normal")</f>
        <v>Normal</v>
      </c>
      <c r="P131" t="str">
        <f>IF(OR(N131&lt;'EDA Analysis'!$E$6,N131&gt;'EDA Analysis'!$E$7),"OUTLIER","Normal")</f>
        <v>Normal</v>
      </c>
    </row>
    <row r="132" spans="1:16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  <c r="O132" t="str">
        <f>IF(OR(F132&lt;'EDA Analysis'!$B$22,F132&gt;'EDA Analysis'!$B$23),"OUTLIER","Normal")</f>
        <v>Normal</v>
      </c>
      <c r="P132" t="str">
        <f>IF(OR(N132&lt;'EDA Analysis'!$E$6,N132&gt;'EDA Analysis'!$E$7),"OUTLIER","Normal")</f>
        <v>Normal</v>
      </c>
    </row>
    <row r="133" spans="1:16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  <c r="O133" t="str">
        <f>IF(OR(F133&lt;'EDA Analysis'!$B$22,F133&gt;'EDA Analysis'!$B$23),"OUTLIER","Normal")</f>
        <v>Normal</v>
      </c>
      <c r="P133" t="str">
        <f>IF(OR(N133&lt;'EDA Analysis'!$E$6,N133&gt;'EDA Analysis'!$E$7),"OUTLIER","Normal")</f>
        <v>Normal</v>
      </c>
    </row>
    <row r="134" spans="1:16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  <c r="O134" t="str">
        <f>IF(OR(F134&lt;'EDA Analysis'!$B$22,F134&gt;'EDA Analysis'!$B$23),"OUTLIER","Normal")</f>
        <v>Normal</v>
      </c>
      <c r="P134" t="str">
        <f>IF(OR(N134&lt;'EDA Analysis'!$E$6,N134&gt;'EDA Analysis'!$E$7),"OUTLIER","Normal")</f>
        <v>Normal</v>
      </c>
    </row>
    <row r="135" spans="1:16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  <c r="O135" t="str">
        <f>IF(OR(F135&lt;'EDA Analysis'!$B$22,F135&gt;'EDA Analysis'!$B$23),"OUTLIER","Normal")</f>
        <v>Normal</v>
      </c>
      <c r="P135" t="str">
        <f>IF(OR(N135&lt;'EDA Analysis'!$E$6,N135&gt;'EDA Analysis'!$E$7),"OUTLIER","Normal")</f>
        <v>Normal</v>
      </c>
    </row>
    <row r="136" spans="1:16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  <c r="O136" t="str">
        <f>IF(OR(F136&lt;'EDA Analysis'!$B$22,F136&gt;'EDA Analysis'!$B$23),"OUTLIER","Normal")</f>
        <v>Normal</v>
      </c>
      <c r="P136" t="str">
        <f>IF(OR(N136&lt;'EDA Analysis'!$E$6,N136&gt;'EDA Analysis'!$E$7),"OUTLIER","Normal")</f>
        <v>Normal</v>
      </c>
    </row>
    <row r="137" spans="1:16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  <c r="O137" t="str">
        <f>IF(OR(F137&lt;'EDA Analysis'!$B$22,F137&gt;'EDA Analysis'!$B$23),"OUTLIER","Normal")</f>
        <v>Normal</v>
      </c>
      <c r="P137" t="str">
        <f>IF(OR(N137&lt;'EDA Analysis'!$E$6,N137&gt;'EDA Analysis'!$E$7),"OUTLIER","Normal")</f>
        <v>Normal</v>
      </c>
    </row>
    <row r="138" spans="1:16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  <c r="O138" t="str">
        <f>IF(OR(F138&lt;'EDA Analysis'!$B$22,F138&gt;'EDA Analysis'!$B$23),"OUTLIER","Normal")</f>
        <v>Normal</v>
      </c>
      <c r="P138" t="str">
        <f>IF(OR(N138&lt;'EDA Analysis'!$E$6,N138&gt;'EDA Analysis'!$E$7),"OUTLIER","Normal")</f>
        <v>Normal</v>
      </c>
    </row>
    <row r="139" spans="1:16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  <c r="O139" t="str">
        <f>IF(OR(F139&lt;'EDA Analysis'!$B$22,F139&gt;'EDA Analysis'!$B$23),"OUTLIER","Normal")</f>
        <v>Normal</v>
      </c>
      <c r="P139" t="str">
        <f>IF(OR(N139&lt;'EDA Analysis'!$E$6,N139&gt;'EDA Analysis'!$E$7),"OUTLIER","Normal")</f>
        <v>Normal</v>
      </c>
    </row>
    <row r="140" spans="1:16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  <c r="O140" t="str">
        <f>IF(OR(F140&lt;'EDA Analysis'!$B$22,F140&gt;'EDA Analysis'!$B$23),"OUTLIER","Normal")</f>
        <v>Normal</v>
      </c>
      <c r="P140" t="str">
        <f>IF(OR(N140&lt;'EDA Analysis'!$E$6,N140&gt;'EDA Analysis'!$E$7),"OUTLIER","Normal")</f>
        <v>Normal</v>
      </c>
    </row>
    <row r="141" spans="1:16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  <c r="O141" t="str">
        <f>IF(OR(F141&lt;'EDA Analysis'!$B$22,F141&gt;'EDA Analysis'!$B$23),"OUTLIER","Normal")</f>
        <v>Normal</v>
      </c>
      <c r="P141" t="str">
        <f>IF(OR(N141&lt;'EDA Analysis'!$E$6,N141&gt;'EDA Analysis'!$E$7),"OUTLIER","Normal")</f>
        <v>Normal</v>
      </c>
    </row>
    <row r="142" spans="1:16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  <c r="O142" t="str">
        <f>IF(OR(F142&lt;'EDA Analysis'!$B$22,F142&gt;'EDA Analysis'!$B$23),"OUTLIER","Normal")</f>
        <v>Normal</v>
      </c>
      <c r="P142" t="str">
        <f>IF(OR(N142&lt;'EDA Analysis'!$E$6,N142&gt;'EDA Analysis'!$E$7),"OUTLIER","Normal")</f>
        <v>Normal</v>
      </c>
    </row>
    <row r="143" spans="1:16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  <c r="O143" t="str">
        <f>IF(OR(F143&lt;'EDA Analysis'!$B$22,F143&gt;'EDA Analysis'!$B$23),"OUTLIER","Normal")</f>
        <v>Normal</v>
      </c>
      <c r="P143" t="str">
        <f>IF(OR(N143&lt;'EDA Analysis'!$E$6,N143&gt;'EDA Analysis'!$E$7),"OUTLIER","Normal")</f>
        <v>Normal</v>
      </c>
    </row>
    <row r="144" spans="1:16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  <c r="O144" t="str">
        <f>IF(OR(F144&lt;'EDA Analysis'!$B$22,F144&gt;'EDA Analysis'!$B$23),"OUTLIER","Normal")</f>
        <v>Normal</v>
      </c>
      <c r="P144" t="str">
        <f>IF(OR(N144&lt;'EDA Analysis'!$E$6,N144&gt;'EDA Analysis'!$E$7),"OUTLIER","Normal")</f>
        <v>Normal</v>
      </c>
    </row>
    <row r="145" spans="1:16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  <c r="O145" t="str">
        <f>IF(OR(F145&lt;'EDA Analysis'!$B$22,F145&gt;'EDA Analysis'!$B$23),"OUTLIER","Normal")</f>
        <v>Normal</v>
      </c>
      <c r="P145" t="str">
        <f>IF(OR(N145&lt;'EDA Analysis'!$E$6,N145&gt;'EDA Analysis'!$E$7),"OUTLIER","Normal")</f>
        <v>Normal</v>
      </c>
    </row>
    <row r="146" spans="1:16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  <c r="O146" t="str">
        <f>IF(OR(F146&lt;'EDA Analysis'!$B$22,F146&gt;'EDA Analysis'!$B$23),"OUTLIER","Normal")</f>
        <v>Normal</v>
      </c>
      <c r="P146" t="str">
        <f>IF(OR(N146&lt;'EDA Analysis'!$E$6,N146&gt;'EDA Analysis'!$E$7),"OUTLIER","Normal")</f>
        <v>Normal</v>
      </c>
    </row>
    <row r="147" spans="1:16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  <c r="O147" t="str">
        <f>IF(OR(F147&lt;'EDA Analysis'!$B$22,F147&gt;'EDA Analysis'!$B$23),"OUTLIER","Normal")</f>
        <v>Normal</v>
      </c>
      <c r="P147" t="str">
        <f>IF(OR(N147&lt;'EDA Analysis'!$E$6,N147&gt;'EDA Analysis'!$E$7),"OUTLIER","Normal")</f>
        <v>Normal</v>
      </c>
    </row>
    <row r="148" spans="1:16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  <c r="O148" t="str">
        <f>IF(OR(F148&lt;'EDA Analysis'!$B$22,F148&gt;'EDA Analysis'!$B$23),"OUTLIER","Normal")</f>
        <v>Normal</v>
      </c>
      <c r="P148" t="str">
        <f>IF(OR(N148&lt;'EDA Analysis'!$E$6,N148&gt;'EDA Analysis'!$E$7),"OUTLIER","Normal")</f>
        <v>Normal</v>
      </c>
    </row>
    <row r="149" spans="1:16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  <c r="O149" t="str">
        <f>IF(OR(F149&lt;'EDA Analysis'!$B$22,F149&gt;'EDA Analysis'!$B$23),"OUTLIER","Normal")</f>
        <v>Normal</v>
      </c>
      <c r="P149" t="str">
        <f>IF(OR(N149&lt;'EDA Analysis'!$E$6,N149&gt;'EDA Analysis'!$E$7),"OUTLIER","Normal")</f>
        <v>Normal</v>
      </c>
    </row>
    <row r="150" spans="1:16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  <c r="O150" t="str">
        <f>IF(OR(F150&lt;'EDA Analysis'!$B$22,F150&gt;'EDA Analysis'!$B$23),"OUTLIER","Normal")</f>
        <v>Normal</v>
      </c>
      <c r="P150" t="str">
        <f>IF(OR(N150&lt;'EDA Analysis'!$E$6,N150&gt;'EDA Analysis'!$E$7),"OUTLIER","Normal")</f>
        <v>Normal</v>
      </c>
    </row>
    <row r="151" spans="1:16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  <c r="O151" t="str">
        <f>IF(OR(F151&lt;'EDA Analysis'!$B$22,F151&gt;'EDA Analysis'!$B$23),"OUTLIER","Normal")</f>
        <v>Normal</v>
      </c>
      <c r="P151" t="str">
        <f>IF(OR(N151&lt;'EDA Analysis'!$E$6,N151&gt;'EDA Analysis'!$E$7),"OUTLIER","Normal")</f>
        <v>Normal</v>
      </c>
    </row>
    <row r="152" spans="1:16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  <c r="O152" t="str">
        <f>IF(OR(F152&lt;'EDA Analysis'!$B$22,F152&gt;'EDA Analysis'!$B$23),"OUTLIER","Normal")</f>
        <v>Normal</v>
      </c>
      <c r="P152" t="str">
        <f>IF(OR(N152&lt;'EDA Analysis'!$E$6,N152&gt;'EDA Analysis'!$E$7),"OUTLIER","Normal")</f>
        <v>Normal</v>
      </c>
    </row>
    <row r="153" spans="1:16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  <c r="O153" t="str">
        <f>IF(OR(F153&lt;'EDA Analysis'!$B$22,F153&gt;'EDA Analysis'!$B$23),"OUTLIER","Normal")</f>
        <v>Normal</v>
      </c>
      <c r="P153" t="str">
        <f>IF(OR(N153&lt;'EDA Analysis'!$E$6,N153&gt;'EDA Analysis'!$E$7),"OUTLIER","Normal")</f>
        <v>Normal</v>
      </c>
    </row>
    <row r="154" spans="1:16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  <c r="O154" t="str">
        <f>IF(OR(F154&lt;'EDA Analysis'!$B$22,F154&gt;'EDA Analysis'!$B$23),"OUTLIER","Normal")</f>
        <v>Normal</v>
      </c>
      <c r="P154" t="str">
        <f>IF(OR(N154&lt;'EDA Analysis'!$E$6,N154&gt;'EDA Analysis'!$E$7),"OUTLIER","Normal")</f>
        <v>Normal</v>
      </c>
    </row>
    <row r="155" spans="1:16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  <c r="O155" t="str">
        <f>IF(OR(F155&lt;'EDA Analysis'!$B$22,F155&gt;'EDA Analysis'!$B$23),"OUTLIER","Normal")</f>
        <v>Normal</v>
      </c>
      <c r="P155" t="str">
        <f>IF(OR(N155&lt;'EDA Analysis'!$E$6,N155&gt;'EDA Analysis'!$E$7),"OUTLIER","Normal")</f>
        <v>Normal</v>
      </c>
    </row>
    <row r="156" spans="1:16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  <c r="O156" t="str">
        <f>IF(OR(F156&lt;'EDA Analysis'!$B$22,F156&gt;'EDA Analysis'!$B$23),"OUTLIER","Normal")</f>
        <v>Normal</v>
      </c>
      <c r="P156" t="str">
        <f>IF(OR(N156&lt;'EDA Analysis'!$E$6,N156&gt;'EDA Analysis'!$E$7),"OUTLIER","Normal")</f>
        <v>Normal</v>
      </c>
    </row>
    <row r="157" spans="1:16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  <c r="O157" t="str">
        <f>IF(OR(F157&lt;'EDA Analysis'!$B$22,F157&gt;'EDA Analysis'!$B$23),"OUTLIER","Normal")</f>
        <v>Normal</v>
      </c>
      <c r="P157" t="str">
        <f>IF(OR(N157&lt;'EDA Analysis'!$E$6,N157&gt;'EDA Analysis'!$E$7),"OUTLIER","Normal")</f>
        <v>Normal</v>
      </c>
    </row>
    <row r="158" spans="1:16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  <c r="O158" t="str">
        <f>IF(OR(F158&lt;'EDA Analysis'!$B$22,F158&gt;'EDA Analysis'!$B$23),"OUTLIER","Normal")</f>
        <v>Normal</v>
      </c>
      <c r="P158" t="str">
        <f>IF(OR(N158&lt;'EDA Analysis'!$E$6,N158&gt;'EDA Analysis'!$E$7),"OUTLIER","Normal")</f>
        <v>Normal</v>
      </c>
    </row>
    <row r="159" spans="1:16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  <c r="O159" t="str">
        <f>IF(OR(F159&lt;'EDA Analysis'!$B$22,F159&gt;'EDA Analysis'!$B$23),"OUTLIER","Normal")</f>
        <v>Normal</v>
      </c>
      <c r="P159" t="str">
        <f>IF(OR(N159&lt;'EDA Analysis'!$E$6,N159&gt;'EDA Analysis'!$E$7),"OUTLIER","Normal")</f>
        <v>Normal</v>
      </c>
    </row>
    <row r="160" spans="1:16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  <c r="O160" t="str">
        <f>IF(OR(F160&lt;'EDA Analysis'!$B$22,F160&gt;'EDA Analysis'!$B$23),"OUTLIER","Normal")</f>
        <v>Normal</v>
      </c>
      <c r="P160" t="str">
        <f>IF(OR(N160&lt;'EDA Analysis'!$E$6,N160&gt;'EDA Analysis'!$E$7),"OUTLIER","Normal")</f>
        <v>Normal</v>
      </c>
    </row>
    <row r="161" spans="1:16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  <c r="O161" t="str">
        <f>IF(OR(F161&lt;'EDA Analysis'!$B$22,F161&gt;'EDA Analysis'!$B$23),"OUTLIER","Normal")</f>
        <v>Normal</v>
      </c>
      <c r="P161" t="str">
        <f>IF(OR(N161&lt;'EDA Analysis'!$E$6,N161&gt;'EDA Analysis'!$E$7),"OUTLIER","Normal")</f>
        <v>Normal</v>
      </c>
    </row>
    <row r="162" spans="1:16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  <c r="O162" t="str">
        <f>IF(OR(F162&lt;'EDA Analysis'!$B$22,F162&gt;'EDA Analysis'!$B$23),"OUTLIER","Normal")</f>
        <v>Normal</v>
      </c>
      <c r="P162" t="str">
        <f>IF(OR(N162&lt;'EDA Analysis'!$E$6,N162&gt;'EDA Analysis'!$E$7),"OUTLIER","Normal")</f>
        <v>Normal</v>
      </c>
    </row>
    <row r="163" spans="1:16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  <c r="O163" t="str">
        <f>IF(OR(F163&lt;'EDA Analysis'!$B$22,F163&gt;'EDA Analysis'!$B$23),"OUTLIER","Normal")</f>
        <v>Normal</v>
      </c>
      <c r="P163" t="str">
        <f>IF(OR(N163&lt;'EDA Analysis'!$E$6,N163&gt;'EDA Analysis'!$E$7),"OUTLIER","Normal")</f>
        <v>Normal</v>
      </c>
    </row>
    <row r="164" spans="1:16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  <c r="O164" t="str">
        <f>IF(OR(F164&lt;'EDA Analysis'!$B$22,F164&gt;'EDA Analysis'!$B$23),"OUTLIER","Normal")</f>
        <v>Normal</v>
      </c>
      <c r="P164" t="str">
        <f>IF(OR(N164&lt;'EDA Analysis'!$E$6,N164&gt;'EDA Analysis'!$E$7),"OUTLIER","Normal")</f>
        <v>Normal</v>
      </c>
    </row>
    <row r="165" spans="1:16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  <c r="O165" t="str">
        <f>IF(OR(F165&lt;'EDA Analysis'!$B$22,F165&gt;'EDA Analysis'!$B$23),"OUTLIER","Normal")</f>
        <v>Normal</v>
      </c>
      <c r="P165" t="str">
        <f>IF(OR(N165&lt;'EDA Analysis'!$E$6,N165&gt;'EDA Analysis'!$E$7),"OUTLIER","Normal")</f>
        <v>Normal</v>
      </c>
    </row>
    <row r="166" spans="1:16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  <c r="O166" t="str">
        <f>IF(OR(F166&lt;'EDA Analysis'!$B$22,F166&gt;'EDA Analysis'!$B$23),"OUTLIER","Normal")</f>
        <v>Normal</v>
      </c>
      <c r="P166" t="str">
        <f>IF(OR(N166&lt;'EDA Analysis'!$E$6,N166&gt;'EDA Analysis'!$E$7),"OUTLIER","Normal")</f>
        <v>Normal</v>
      </c>
    </row>
    <row r="167" spans="1:16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  <c r="O167" t="str">
        <f>IF(OR(F167&lt;'EDA Analysis'!$B$22,F167&gt;'EDA Analysis'!$B$23),"OUTLIER","Normal")</f>
        <v>Normal</v>
      </c>
      <c r="P167" t="str">
        <f>IF(OR(N167&lt;'EDA Analysis'!$E$6,N167&gt;'EDA Analysis'!$E$7),"OUTLIER","Normal")</f>
        <v>Normal</v>
      </c>
    </row>
    <row r="168" spans="1:16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  <c r="O168" t="str">
        <f>IF(OR(F168&lt;'EDA Analysis'!$B$22,F168&gt;'EDA Analysis'!$B$23),"OUTLIER","Normal")</f>
        <v>Normal</v>
      </c>
      <c r="P168" t="str">
        <f>IF(OR(N168&lt;'EDA Analysis'!$E$6,N168&gt;'EDA Analysis'!$E$7),"OUTLIER","Normal")</f>
        <v>Normal</v>
      </c>
    </row>
    <row r="169" spans="1:16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  <c r="O169" t="str">
        <f>IF(OR(F169&lt;'EDA Analysis'!$B$22,F169&gt;'EDA Analysis'!$B$23),"OUTLIER","Normal")</f>
        <v>Normal</v>
      </c>
      <c r="P169" t="str">
        <f>IF(OR(N169&lt;'EDA Analysis'!$E$6,N169&gt;'EDA Analysis'!$E$7),"OUTLIER","Normal")</f>
        <v>Normal</v>
      </c>
    </row>
    <row r="170" spans="1:16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  <c r="O170" t="str">
        <f>IF(OR(F170&lt;'EDA Analysis'!$B$22,F170&gt;'EDA Analysis'!$B$23),"OUTLIER","Normal")</f>
        <v>Normal</v>
      </c>
      <c r="P170" t="str">
        <f>IF(OR(N170&lt;'EDA Analysis'!$E$6,N170&gt;'EDA Analysis'!$E$7),"OUTLIER","Normal")</f>
        <v>Normal</v>
      </c>
    </row>
    <row r="171" spans="1:16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  <c r="O171" t="str">
        <f>IF(OR(F171&lt;'EDA Analysis'!$B$22,F171&gt;'EDA Analysis'!$B$23),"OUTLIER","Normal")</f>
        <v>Normal</v>
      </c>
      <c r="P171" t="str">
        <f>IF(OR(N171&lt;'EDA Analysis'!$E$6,N171&gt;'EDA Analysis'!$E$7),"OUTLIER","Normal")</f>
        <v>Normal</v>
      </c>
    </row>
    <row r="172" spans="1:16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  <c r="O172" t="str">
        <f>IF(OR(F172&lt;'EDA Analysis'!$B$22,F172&gt;'EDA Analysis'!$B$23),"OUTLIER","Normal")</f>
        <v>Normal</v>
      </c>
      <c r="P172" t="str">
        <f>IF(OR(N172&lt;'EDA Analysis'!$E$6,N172&gt;'EDA Analysis'!$E$7),"OUTLIER","Normal")</f>
        <v>Normal</v>
      </c>
    </row>
    <row r="173" spans="1:16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  <c r="O173" t="str">
        <f>IF(OR(F173&lt;'EDA Analysis'!$B$22,F173&gt;'EDA Analysis'!$B$23),"OUTLIER","Normal")</f>
        <v>Normal</v>
      </c>
      <c r="P173" t="str">
        <f>IF(OR(N173&lt;'EDA Analysis'!$E$6,N173&gt;'EDA Analysis'!$E$7),"OUTLIER","Normal")</f>
        <v>Normal</v>
      </c>
    </row>
    <row r="174" spans="1:16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  <c r="O174" t="str">
        <f>IF(OR(F174&lt;'EDA Analysis'!$B$22,F174&gt;'EDA Analysis'!$B$23),"OUTLIER","Normal")</f>
        <v>Normal</v>
      </c>
      <c r="P174" t="str">
        <f>IF(OR(N174&lt;'EDA Analysis'!$E$6,N174&gt;'EDA Analysis'!$E$7),"OUTLIER","Normal")</f>
        <v>Normal</v>
      </c>
    </row>
    <row r="175" spans="1:16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  <c r="O175" t="str">
        <f>IF(OR(F175&lt;'EDA Analysis'!$B$22,F175&gt;'EDA Analysis'!$B$23),"OUTLIER","Normal")</f>
        <v>Normal</v>
      </c>
      <c r="P175" t="str">
        <f>IF(OR(N175&lt;'EDA Analysis'!$E$6,N175&gt;'EDA Analysis'!$E$7),"OUTLIER","Normal")</f>
        <v>Normal</v>
      </c>
    </row>
    <row r="176" spans="1:16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  <c r="O176" t="str">
        <f>IF(OR(F176&lt;'EDA Analysis'!$B$22,F176&gt;'EDA Analysis'!$B$23),"OUTLIER","Normal")</f>
        <v>Normal</v>
      </c>
      <c r="P176" t="str">
        <f>IF(OR(N176&lt;'EDA Analysis'!$E$6,N176&gt;'EDA Analysis'!$E$7),"OUTLIER","Normal")</f>
        <v>Normal</v>
      </c>
    </row>
    <row r="177" spans="1:16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  <c r="O177" t="str">
        <f>IF(OR(F177&lt;'EDA Analysis'!$B$22,F177&gt;'EDA Analysis'!$B$23),"OUTLIER","Normal")</f>
        <v>Normal</v>
      </c>
      <c r="P177" t="str">
        <f>IF(OR(N177&lt;'EDA Analysis'!$E$6,N177&gt;'EDA Analysis'!$E$7),"OUTLIER","Normal")</f>
        <v>Normal</v>
      </c>
    </row>
    <row r="178" spans="1:16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  <c r="O178" t="str">
        <f>IF(OR(F178&lt;'EDA Analysis'!$B$22,F178&gt;'EDA Analysis'!$B$23),"OUTLIER","Normal")</f>
        <v>Normal</v>
      </c>
      <c r="P178" t="str">
        <f>IF(OR(N178&lt;'EDA Analysis'!$E$6,N178&gt;'EDA Analysis'!$E$7),"OUTLIER","Normal")</f>
        <v>Normal</v>
      </c>
    </row>
    <row r="179" spans="1:16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  <c r="O179" t="str">
        <f>IF(OR(F179&lt;'EDA Analysis'!$B$22,F179&gt;'EDA Analysis'!$B$23),"OUTLIER","Normal")</f>
        <v>Normal</v>
      </c>
      <c r="P179" t="str">
        <f>IF(OR(N179&lt;'EDA Analysis'!$E$6,N179&gt;'EDA Analysis'!$E$7),"OUTLIER","Normal")</f>
        <v>Normal</v>
      </c>
    </row>
    <row r="180" spans="1:16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  <c r="O180" t="str">
        <f>IF(OR(F180&lt;'EDA Analysis'!$B$22,F180&gt;'EDA Analysis'!$B$23),"OUTLIER","Normal")</f>
        <v>Normal</v>
      </c>
      <c r="P180" t="str">
        <f>IF(OR(N180&lt;'EDA Analysis'!$E$6,N180&gt;'EDA Analysis'!$E$7),"OUTLIER","Normal")</f>
        <v>Normal</v>
      </c>
    </row>
    <row r="181" spans="1:16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  <c r="O181" t="str">
        <f>IF(OR(F181&lt;'EDA Analysis'!$B$22,F181&gt;'EDA Analysis'!$B$23),"OUTLIER","Normal")</f>
        <v>Normal</v>
      </c>
      <c r="P181" t="str">
        <f>IF(OR(N181&lt;'EDA Analysis'!$E$6,N181&gt;'EDA Analysis'!$E$7),"OUTLIER","Normal")</f>
        <v>Normal</v>
      </c>
    </row>
    <row r="182" spans="1:16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  <c r="O182" t="str">
        <f>IF(OR(F182&lt;'EDA Analysis'!$B$22,F182&gt;'EDA Analysis'!$B$23),"OUTLIER","Normal")</f>
        <v>Normal</v>
      </c>
      <c r="P182" t="str">
        <f>IF(OR(N182&lt;'EDA Analysis'!$E$6,N182&gt;'EDA Analysis'!$E$7),"OUTLIER","Normal")</f>
        <v>Normal</v>
      </c>
    </row>
    <row r="183" spans="1:16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  <c r="O183" t="str">
        <f>IF(OR(F183&lt;'EDA Analysis'!$B$22,F183&gt;'EDA Analysis'!$B$23),"OUTLIER","Normal")</f>
        <v>Normal</v>
      </c>
      <c r="P183" t="str">
        <f>IF(OR(N183&lt;'EDA Analysis'!$E$6,N183&gt;'EDA Analysis'!$E$7),"OUTLIER","Normal")</f>
        <v>Normal</v>
      </c>
    </row>
    <row r="184" spans="1:16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  <c r="O184" t="str">
        <f>IF(OR(F184&lt;'EDA Analysis'!$B$22,F184&gt;'EDA Analysis'!$B$23),"OUTLIER","Normal")</f>
        <v>Normal</v>
      </c>
      <c r="P184" t="str">
        <f>IF(OR(N184&lt;'EDA Analysis'!$E$6,N184&gt;'EDA Analysis'!$E$7),"OUTLIER","Normal")</f>
        <v>Normal</v>
      </c>
    </row>
    <row r="185" spans="1:16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  <c r="O185" t="str">
        <f>IF(OR(F185&lt;'EDA Analysis'!$B$22,F185&gt;'EDA Analysis'!$B$23),"OUTLIER","Normal")</f>
        <v>Normal</v>
      </c>
      <c r="P185" t="str">
        <f>IF(OR(N185&lt;'EDA Analysis'!$E$6,N185&gt;'EDA Analysis'!$E$7),"OUTLIER","Normal")</f>
        <v>Normal</v>
      </c>
    </row>
    <row r="186" spans="1:16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  <c r="O186" t="str">
        <f>IF(OR(F186&lt;'EDA Analysis'!$B$22,F186&gt;'EDA Analysis'!$B$23),"OUTLIER","Normal")</f>
        <v>Normal</v>
      </c>
      <c r="P186" t="str">
        <f>IF(OR(N186&lt;'EDA Analysis'!$E$6,N186&gt;'EDA Analysis'!$E$7),"OUTLIER","Normal")</f>
        <v>Normal</v>
      </c>
    </row>
    <row r="187" spans="1:16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  <c r="O187" t="str">
        <f>IF(OR(F187&lt;'EDA Analysis'!$B$22,F187&gt;'EDA Analysis'!$B$23),"OUTLIER","Normal")</f>
        <v>Normal</v>
      </c>
      <c r="P187" t="str">
        <f>IF(OR(N187&lt;'EDA Analysis'!$E$6,N187&gt;'EDA Analysis'!$E$7),"OUTLIER","Normal")</f>
        <v>Normal</v>
      </c>
    </row>
    <row r="188" spans="1:16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  <c r="O188" t="str">
        <f>IF(OR(F188&lt;'EDA Analysis'!$B$22,F188&gt;'EDA Analysis'!$B$23),"OUTLIER","Normal")</f>
        <v>Normal</v>
      </c>
      <c r="P188" t="str">
        <f>IF(OR(N188&lt;'EDA Analysis'!$E$6,N188&gt;'EDA Analysis'!$E$7),"OUTLIER","Normal")</f>
        <v>Normal</v>
      </c>
    </row>
    <row r="189" spans="1:16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  <c r="O189" t="str">
        <f>IF(OR(F189&lt;'EDA Analysis'!$B$22,F189&gt;'EDA Analysis'!$B$23),"OUTLIER","Normal")</f>
        <v>Normal</v>
      </c>
      <c r="P189" t="str">
        <f>IF(OR(N189&lt;'EDA Analysis'!$E$6,N189&gt;'EDA Analysis'!$E$7),"OUTLIER","Normal")</f>
        <v>Normal</v>
      </c>
    </row>
    <row r="190" spans="1:16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  <c r="O190" t="str">
        <f>IF(OR(F190&lt;'EDA Analysis'!$B$22,F190&gt;'EDA Analysis'!$B$23),"OUTLIER","Normal")</f>
        <v>Normal</v>
      </c>
      <c r="P190" t="str">
        <f>IF(OR(N190&lt;'EDA Analysis'!$E$6,N190&gt;'EDA Analysis'!$E$7),"OUTLIER","Normal")</f>
        <v>Normal</v>
      </c>
    </row>
    <row r="191" spans="1:16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  <c r="O191" t="str">
        <f>IF(OR(F191&lt;'EDA Analysis'!$B$22,F191&gt;'EDA Analysis'!$B$23),"OUTLIER","Normal")</f>
        <v>Normal</v>
      </c>
      <c r="P191" t="str">
        <f>IF(OR(N191&lt;'EDA Analysis'!$E$6,N191&gt;'EDA Analysis'!$E$7),"OUTLIER","Normal")</f>
        <v>Normal</v>
      </c>
    </row>
    <row r="192" spans="1:16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  <c r="O192" t="str">
        <f>IF(OR(F192&lt;'EDA Analysis'!$B$22,F192&gt;'EDA Analysis'!$B$23),"OUTLIER","Normal")</f>
        <v>Normal</v>
      </c>
      <c r="P192" t="str">
        <f>IF(OR(N192&lt;'EDA Analysis'!$E$6,N192&gt;'EDA Analysis'!$E$7),"OUTLIER","Normal")</f>
        <v>Normal</v>
      </c>
    </row>
    <row r="193" spans="1:16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  <c r="O193" t="str">
        <f>IF(OR(F193&lt;'EDA Analysis'!$B$22,F193&gt;'EDA Analysis'!$B$23),"OUTLIER","Normal")</f>
        <v>Normal</v>
      </c>
      <c r="P193" t="str">
        <f>IF(OR(N193&lt;'EDA Analysis'!$E$6,N193&gt;'EDA Analysis'!$E$7),"OUTLIER","Normal")</f>
        <v>Normal</v>
      </c>
    </row>
    <row r="194" spans="1:16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  <c r="O194" t="str">
        <f>IF(OR(F194&lt;'EDA Analysis'!$B$22,F194&gt;'EDA Analysis'!$B$23),"OUTLIER","Normal")</f>
        <v>Normal</v>
      </c>
      <c r="P194" t="str">
        <f>IF(OR(N194&lt;'EDA Analysis'!$E$6,N194&gt;'EDA Analysis'!$E$7),"OUTLIER","Normal")</f>
        <v>Normal</v>
      </c>
    </row>
    <row r="195" spans="1:16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  <c r="O195" t="str">
        <f>IF(OR(F195&lt;'EDA Analysis'!$B$22,F195&gt;'EDA Analysis'!$B$23),"OUTLIER","Normal")</f>
        <v>Normal</v>
      </c>
      <c r="P195" t="str">
        <f>IF(OR(N195&lt;'EDA Analysis'!$E$6,N195&gt;'EDA Analysis'!$E$7),"OUTLIER","Normal")</f>
        <v>Normal</v>
      </c>
    </row>
    <row r="196" spans="1:16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  <c r="O196" t="str">
        <f>IF(OR(F196&lt;'EDA Analysis'!$B$22,F196&gt;'EDA Analysis'!$B$23),"OUTLIER","Normal")</f>
        <v>Normal</v>
      </c>
      <c r="P196" t="str">
        <f>IF(OR(N196&lt;'EDA Analysis'!$E$6,N196&gt;'EDA Analysis'!$E$7),"OUTLIER","Normal")</f>
        <v>Normal</v>
      </c>
    </row>
    <row r="197" spans="1:16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  <c r="O197" t="str">
        <f>IF(OR(F197&lt;'EDA Analysis'!$B$22,F197&gt;'EDA Analysis'!$B$23),"OUTLIER","Normal")</f>
        <v>Normal</v>
      </c>
      <c r="P197" t="str">
        <f>IF(OR(N197&lt;'EDA Analysis'!$E$6,N197&gt;'EDA Analysis'!$E$7),"OUTLIER","Normal")</f>
        <v>Normal</v>
      </c>
    </row>
    <row r="198" spans="1:16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  <c r="O198" t="str">
        <f>IF(OR(F198&lt;'EDA Analysis'!$B$22,F198&gt;'EDA Analysis'!$B$23),"OUTLIER","Normal")</f>
        <v>Normal</v>
      </c>
      <c r="P198" t="str">
        <f>IF(OR(N198&lt;'EDA Analysis'!$E$6,N198&gt;'EDA Analysis'!$E$7),"OUTLIER","Normal")</f>
        <v>Normal</v>
      </c>
    </row>
    <row r="199" spans="1:16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  <c r="O199" t="str">
        <f>IF(OR(F199&lt;'EDA Analysis'!$B$22,F199&gt;'EDA Analysis'!$B$23),"OUTLIER","Normal")</f>
        <v>Normal</v>
      </c>
      <c r="P199" t="str">
        <f>IF(OR(N199&lt;'EDA Analysis'!$E$6,N199&gt;'EDA Analysis'!$E$7),"OUTLIER","Normal")</f>
        <v>Normal</v>
      </c>
    </row>
    <row r="200" spans="1:16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  <c r="O200" t="str">
        <f>IF(OR(F200&lt;'EDA Analysis'!$B$22,F200&gt;'EDA Analysis'!$B$23),"OUTLIER","Normal")</f>
        <v>Normal</v>
      </c>
      <c r="P200" t="str">
        <f>IF(OR(N200&lt;'EDA Analysis'!$E$6,N200&gt;'EDA Analysis'!$E$7),"OUTLIER","Normal")</f>
        <v>Normal</v>
      </c>
    </row>
    <row r="201" spans="1:16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  <c r="O201" t="str">
        <f>IF(OR(F201&lt;'EDA Analysis'!$B$22,F201&gt;'EDA Analysis'!$B$23),"OUTLIER","Normal")</f>
        <v>Normal</v>
      </c>
      <c r="P201" t="str">
        <f>IF(OR(N201&lt;'EDA Analysis'!$E$6,N201&gt;'EDA Analysis'!$E$7),"OUTLIER","Normal")</f>
        <v>Normal</v>
      </c>
    </row>
    <row r="202" spans="1:16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  <c r="O202" t="str">
        <f>IF(OR(F202&lt;'EDA Analysis'!$B$22,F202&gt;'EDA Analysis'!$B$23),"OUTLIER","Normal")</f>
        <v>Normal</v>
      </c>
      <c r="P202" t="str">
        <f>IF(OR(N202&lt;'EDA Analysis'!$E$6,N202&gt;'EDA Analysis'!$E$7),"OUTLIER","Normal")</f>
        <v>Normal</v>
      </c>
    </row>
    <row r="203" spans="1:16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  <c r="O203" t="str">
        <f>IF(OR(F203&lt;'EDA Analysis'!$B$22,F203&gt;'EDA Analysis'!$B$23),"OUTLIER","Normal")</f>
        <v>Normal</v>
      </c>
      <c r="P203" t="str">
        <f>IF(OR(N203&lt;'EDA Analysis'!$E$6,N203&gt;'EDA Analysis'!$E$7),"OUTLIER","Normal")</f>
        <v>Normal</v>
      </c>
    </row>
    <row r="204" spans="1:16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  <c r="O204" t="str">
        <f>IF(OR(F204&lt;'EDA Analysis'!$B$22,F204&gt;'EDA Analysis'!$B$23),"OUTLIER","Normal")</f>
        <v>Normal</v>
      </c>
      <c r="P204" t="str">
        <f>IF(OR(N204&lt;'EDA Analysis'!$E$6,N204&gt;'EDA Analysis'!$E$7),"OUTLIER","Normal")</f>
        <v>Normal</v>
      </c>
    </row>
    <row r="205" spans="1:16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  <c r="O205" t="str">
        <f>IF(OR(F205&lt;'EDA Analysis'!$B$22,F205&gt;'EDA Analysis'!$B$23),"OUTLIER","Normal")</f>
        <v>Normal</v>
      </c>
      <c r="P205" t="str">
        <f>IF(OR(N205&lt;'EDA Analysis'!$E$6,N205&gt;'EDA Analysis'!$E$7),"OUTLIER","Normal")</f>
        <v>Normal</v>
      </c>
    </row>
    <row r="206" spans="1:16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  <c r="O206" t="str">
        <f>IF(OR(F206&lt;'EDA Analysis'!$B$22,F206&gt;'EDA Analysis'!$B$23),"OUTLIER","Normal")</f>
        <v>Normal</v>
      </c>
      <c r="P206" t="str">
        <f>IF(OR(N206&lt;'EDA Analysis'!$E$6,N206&gt;'EDA Analysis'!$E$7),"OUTLIER","Normal")</f>
        <v>Normal</v>
      </c>
    </row>
    <row r="207" spans="1:16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  <c r="O207" t="str">
        <f>IF(OR(F207&lt;'EDA Analysis'!$B$22,F207&gt;'EDA Analysis'!$B$23),"OUTLIER","Normal")</f>
        <v>Normal</v>
      </c>
      <c r="P207" t="str">
        <f>IF(OR(N207&lt;'EDA Analysis'!$E$6,N207&gt;'EDA Analysis'!$E$7),"OUTLIER","Normal")</f>
        <v>Normal</v>
      </c>
    </row>
    <row r="208" spans="1:16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  <c r="O208" t="str">
        <f>IF(OR(F208&lt;'EDA Analysis'!$B$22,F208&gt;'EDA Analysis'!$B$23),"OUTLIER","Normal")</f>
        <v>Normal</v>
      </c>
      <c r="P208" t="str">
        <f>IF(OR(N208&lt;'EDA Analysis'!$E$6,N208&gt;'EDA Analysis'!$E$7),"OUTLIER","Normal")</f>
        <v>Normal</v>
      </c>
    </row>
    <row r="209" spans="1:16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  <c r="O209" t="str">
        <f>IF(OR(F209&lt;'EDA Analysis'!$B$22,F209&gt;'EDA Analysis'!$B$23),"OUTLIER","Normal")</f>
        <v>Normal</v>
      </c>
      <c r="P209" t="str">
        <f>IF(OR(N209&lt;'EDA Analysis'!$E$6,N209&gt;'EDA Analysis'!$E$7),"OUTLIER","Normal")</f>
        <v>Normal</v>
      </c>
    </row>
    <row r="210" spans="1:16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  <c r="O210" t="str">
        <f>IF(OR(F210&lt;'EDA Analysis'!$B$22,F210&gt;'EDA Analysis'!$B$23),"OUTLIER","Normal")</f>
        <v>Normal</v>
      </c>
      <c r="P210" t="str">
        <f>IF(OR(N210&lt;'EDA Analysis'!$E$6,N210&gt;'EDA Analysis'!$E$7),"OUTLIER","Normal")</f>
        <v>Normal</v>
      </c>
    </row>
    <row r="211" spans="1:16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  <c r="O211" t="str">
        <f>IF(OR(F211&lt;'EDA Analysis'!$B$22,F211&gt;'EDA Analysis'!$B$23),"OUTLIER","Normal")</f>
        <v>Normal</v>
      </c>
      <c r="P211" t="str">
        <f>IF(OR(N211&lt;'EDA Analysis'!$E$6,N211&gt;'EDA Analysis'!$E$7),"OUTLIER","Normal")</f>
        <v>Normal</v>
      </c>
    </row>
    <row r="212" spans="1:16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  <c r="O212" t="str">
        <f>IF(OR(F212&lt;'EDA Analysis'!$B$22,F212&gt;'EDA Analysis'!$B$23),"OUTLIER","Normal")</f>
        <v>Normal</v>
      </c>
      <c r="P212" t="str">
        <f>IF(OR(N212&lt;'EDA Analysis'!$E$6,N212&gt;'EDA Analysis'!$E$7),"OUTLIER","Normal")</f>
        <v>Normal</v>
      </c>
    </row>
    <row r="213" spans="1:16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  <c r="O213" t="str">
        <f>IF(OR(F213&lt;'EDA Analysis'!$B$22,F213&gt;'EDA Analysis'!$B$23),"OUTLIER","Normal")</f>
        <v>Normal</v>
      </c>
      <c r="P213" t="str">
        <f>IF(OR(N213&lt;'EDA Analysis'!$E$6,N213&gt;'EDA Analysis'!$E$7),"OUTLIER","Normal")</f>
        <v>Normal</v>
      </c>
    </row>
    <row r="214" spans="1:16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  <c r="O214" t="str">
        <f>IF(OR(F214&lt;'EDA Analysis'!$B$22,F214&gt;'EDA Analysis'!$B$23),"OUTLIER","Normal")</f>
        <v>Normal</v>
      </c>
      <c r="P214" t="str">
        <f>IF(OR(N214&lt;'EDA Analysis'!$E$6,N214&gt;'EDA Analysis'!$E$7),"OUTLIER","Normal")</f>
        <v>Normal</v>
      </c>
    </row>
    <row r="215" spans="1:16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  <c r="O215" t="str">
        <f>IF(OR(F215&lt;'EDA Analysis'!$B$22,F215&gt;'EDA Analysis'!$B$23),"OUTLIER","Normal")</f>
        <v>Normal</v>
      </c>
      <c r="P215" t="str">
        <f>IF(OR(N215&lt;'EDA Analysis'!$E$6,N215&gt;'EDA Analysis'!$E$7),"OUTLIER","Normal")</f>
        <v>Normal</v>
      </c>
    </row>
    <row r="216" spans="1:16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  <c r="O216" t="str">
        <f>IF(OR(F216&lt;'EDA Analysis'!$B$22,F216&gt;'EDA Analysis'!$B$23),"OUTLIER","Normal")</f>
        <v>Normal</v>
      </c>
      <c r="P216" t="str">
        <f>IF(OR(N216&lt;'EDA Analysis'!$E$6,N216&gt;'EDA Analysis'!$E$7),"OUTLIER","Normal")</f>
        <v>Normal</v>
      </c>
    </row>
    <row r="217" spans="1:16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  <c r="O217" t="str">
        <f>IF(OR(F217&lt;'EDA Analysis'!$B$22,F217&gt;'EDA Analysis'!$B$23),"OUTLIER","Normal")</f>
        <v>Normal</v>
      </c>
      <c r="P217" t="str">
        <f>IF(OR(N217&lt;'EDA Analysis'!$E$6,N217&gt;'EDA Analysis'!$E$7),"OUTLIER","Normal")</f>
        <v>Normal</v>
      </c>
    </row>
    <row r="218" spans="1:16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  <c r="O218" t="str">
        <f>IF(OR(F218&lt;'EDA Analysis'!$B$22,F218&gt;'EDA Analysis'!$B$23),"OUTLIER","Normal")</f>
        <v>Normal</v>
      </c>
      <c r="P218" t="str">
        <f>IF(OR(N218&lt;'EDA Analysis'!$E$6,N218&gt;'EDA Analysis'!$E$7),"OUTLIER","Normal")</f>
        <v>Normal</v>
      </c>
    </row>
    <row r="219" spans="1:16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  <c r="O219" t="str">
        <f>IF(OR(F219&lt;'EDA Analysis'!$B$22,F219&gt;'EDA Analysis'!$B$23),"OUTLIER","Normal")</f>
        <v>Normal</v>
      </c>
      <c r="P219" t="str">
        <f>IF(OR(N219&lt;'EDA Analysis'!$E$6,N219&gt;'EDA Analysis'!$E$7),"OUTLIER","Normal")</f>
        <v>Normal</v>
      </c>
    </row>
    <row r="220" spans="1:16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  <c r="O220" t="str">
        <f>IF(OR(F220&lt;'EDA Analysis'!$B$22,F220&gt;'EDA Analysis'!$B$23),"OUTLIER","Normal")</f>
        <v>Normal</v>
      </c>
      <c r="P220" t="str">
        <f>IF(OR(N220&lt;'EDA Analysis'!$E$6,N220&gt;'EDA Analysis'!$E$7),"OUTLIER","Normal")</f>
        <v>Normal</v>
      </c>
    </row>
    <row r="221" spans="1:16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  <c r="O221" t="str">
        <f>IF(OR(F221&lt;'EDA Analysis'!$B$22,F221&gt;'EDA Analysis'!$B$23),"OUTLIER","Normal")</f>
        <v>Normal</v>
      </c>
      <c r="P221" t="str">
        <f>IF(OR(N221&lt;'EDA Analysis'!$E$6,N221&gt;'EDA Analysis'!$E$7),"OUTLIER","Normal")</f>
        <v>Normal</v>
      </c>
    </row>
    <row r="222" spans="1:16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  <c r="O222" t="str">
        <f>IF(OR(F222&lt;'EDA Analysis'!$B$22,F222&gt;'EDA Analysis'!$B$23),"OUTLIER","Normal")</f>
        <v>Normal</v>
      </c>
      <c r="P222" t="str">
        <f>IF(OR(N222&lt;'EDA Analysis'!$E$6,N222&gt;'EDA Analysis'!$E$7),"OUTLIER","Normal")</f>
        <v>Normal</v>
      </c>
    </row>
    <row r="223" spans="1:16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  <c r="O223" t="str">
        <f>IF(OR(F223&lt;'EDA Analysis'!$B$22,F223&gt;'EDA Analysis'!$B$23),"OUTLIER","Normal")</f>
        <v>Normal</v>
      </c>
      <c r="P223" t="str">
        <f>IF(OR(N223&lt;'EDA Analysis'!$E$6,N223&gt;'EDA Analysis'!$E$7),"OUTLIER","Normal")</f>
        <v>Normal</v>
      </c>
    </row>
    <row r="224" spans="1:16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  <c r="O224" t="str">
        <f>IF(OR(F224&lt;'EDA Analysis'!$B$22,F224&gt;'EDA Analysis'!$B$23),"OUTLIER","Normal")</f>
        <v>Normal</v>
      </c>
      <c r="P224" t="str">
        <f>IF(OR(N224&lt;'EDA Analysis'!$E$6,N224&gt;'EDA Analysis'!$E$7),"OUTLIER","Normal")</f>
        <v>Normal</v>
      </c>
    </row>
    <row r="225" spans="1:16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  <c r="O225" t="str">
        <f>IF(OR(F225&lt;'EDA Analysis'!$B$22,F225&gt;'EDA Analysis'!$B$23),"OUTLIER","Normal")</f>
        <v>Normal</v>
      </c>
      <c r="P225" t="str">
        <f>IF(OR(N225&lt;'EDA Analysis'!$E$6,N225&gt;'EDA Analysis'!$E$7),"OUTLIER","Normal")</f>
        <v>Normal</v>
      </c>
    </row>
    <row r="226" spans="1:16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  <c r="O226" t="str">
        <f>IF(OR(F226&lt;'EDA Analysis'!$B$22,F226&gt;'EDA Analysis'!$B$23),"OUTLIER","Normal")</f>
        <v>Normal</v>
      </c>
      <c r="P226" t="str">
        <f>IF(OR(N226&lt;'EDA Analysis'!$E$6,N226&gt;'EDA Analysis'!$E$7),"OUTLIER","Normal")</f>
        <v>Normal</v>
      </c>
    </row>
    <row r="227" spans="1:16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  <c r="O227" t="str">
        <f>IF(OR(F227&lt;'EDA Analysis'!$B$22,F227&gt;'EDA Analysis'!$B$23),"OUTLIER","Normal")</f>
        <v>Normal</v>
      </c>
      <c r="P227" t="str">
        <f>IF(OR(N227&lt;'EDA Analysis'!$E$6,N227&gt;'EDA Analysis'!$E$7),"OUTLIER","Normal")</f>
        <v>Normal</v>
      </c>
    </row>
    <row r="228" spans="1:16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  <c r="O228" t="str">
        <f>IF(OR(F228&lt;'EDA Analysis'!$B$22,F228&gt;'EDA Analysis'!$B$23),"OUTLIER","Normal")</f>
        <v>Normal</v>
      </c>
      <c r="P228" t="str">
        <f>IF(OR(N228&lt;'EDA Analysis'!$E$6,N228&gt;'EDA Analysis'!$E$7),"OUTLIER","Normal")</f>
        <v>Normal</v>
      </c>
    </row>
    <row r="229" spans="1:16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  <c r="O229" t="str">
        <f>IF(OR(F229&lt;'EDA Analysis'!$B$22,F229&gt;'EDA Analysis'!$B$23),"OUTLIER","Normal")</f>
        <v>Normal</v>
      </c>
      <c r="P229" t="str">
        <f>IF(OR(N229&lt;'EDA Analysis'!$E$6,N229&gt;'EDA Analysis'!$E$7),"OUTLIER","Normal")</f>
        <v>Normal</v>
      </c>
    </row>
    <row r="230" spans="1:16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  <c r="O230" t="str">
        <f>IF(OR(F230&lt;'EDA Analysis'!$B$22,F230&gt;'EDA Analysis'!$B$23),"OUTLIER","Normal")</f>
        <v>Normal</v>
      </c>
      <c r="P230" t="str">
        <f>IF(OR(N230&lt;'EDA Analysis'!$E$6,N230&gt;'EDA Analysis'!$E$7),"OUTLIER","Normal")</f>
        <v>Normal</v>
      </c>
    </row>
    <row r="231" spans="1:16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  <c r="O231" t="str">
        <f>IF(OR(F231&lt;'EDA Analysis'!$B$22,F231&gt;'EDA Analysis'!$B$23),"OUTLIER","Normal")</f>
        <v>Normal</v>
      </c>
      <c r="P231" t="str">
        <f>IF(OR(N231&lt;'EDA Analysis'!$E$6,N231&gt;'EDA Analysis'!$E$7),"OUTLIER","Normal")</f>
        <v>Normal</v>
      </c>
    </row>
    <row r="232" spans="1:16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  <c r="O232" t="str">
        <f>IF(OR(F232&lt;'EDA Analysis'!$B$22,F232&gt;'EDA Analysis'!$B$23),"OUTLIER","Normal")</f>
        <v>Normal</v>
      </c>
      <c r="P232" t="str">
        <f>IF(OR(N232&lt;'EDA Analysis'!$E$6,N232&gt;'EDA Analysis'!$E$7),"OUTLIER","Normal")</f>
        <v>Normal</v>
      </c>
    </row>
    <row r="233" spans="1:16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  <c r="O233" t="str">
        <f>IF(OR(F233&lt;'EDA Analysis'!$B$22,F233&gt;'EDA Analysis'!$B$23),"OUTLIER","Normal")</f>
        <v>Normal</v>
      </c>
      <c r="P233" t="str">
        <f>IF(OR(N233&lt;'EDA Analysis'!$E$6,N233&gt;'EDA Analysis'!$E$7),"OUTLIER","Normal")</f>
        <v>Normal</v>
      </c>
    </row>
    <row r="234" spans="1:16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  <c r="O234" t="str">
        <f>IF(OR(F234&lt;'EDA Analysis'!$B$22,F234&gt;'EDA Analysis'!$B$23),"OUTLIER","Normal")</f>
        <v>Normal</v>
      </c>
      <c r="P234" t="str">
        <f>IF(OR(N234&lt;'EDA Analysis'!$E$6,N234&gt;'EDA Analysis'!$E$7),"OUTLIER","Normal")</f>
        <v>Normal</v>
      </c>
    </row>
    <row r="235" spans="1:16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  <c r="O235" t="str">
        <f>IF(OR(F235&lt;'EDA Analysis'!$B$22,F235&gt;'EDA Analysis'!$B$23),"OUTLIER","Normal")</f>
        <v>Normal</v>
      </c>
      <c r="P235" t="str">
        <f>IF(OR(N235&lt;'EDA Analysis'!$E$6,N235&gt;'EDA Analysis'!$E$7),"OUTLIER","Normal")</f>
        <v>Normal</v>
      </c>
    </row>
    <row r="236" spans="1:16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  <c r="O236" t="str">
        <f>IF(OR(F236&lt;'EDA Analysis'!$B$22,F236&gt;'EDA Analysis'!$B$23),"OUTLIER","Normal")</f>
        <v>Normal</v>
      </c>
      <c r="P236" t="str">
        <f>IF(OR(N236&lt;'EDA Analysis'!$E$6,N236&gt;'EDA Analysis'!$E$7),"OUTLIER","Normal")</f>
        <v>Normal</v>
      </c>
    </row>
    <row r="237" spans="1:16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  <c r="O237" t="str">
        <f>IF(OR(F237&lt;'EDA Analysis'!$B$22,F237&gt;'EDA Analysis'!$B$23),"OUTLIER","Normal")</f>
        <v>Normal</v>
      </c>
      <c r="P237" t="str">
        <f>IF(OR(N237&lt;'EDA Analysis'!$E$6,N237&gt;'EDA Analysis'!$E$7),"OUTLIER","Normal")</f>
        <v>Normal</v>
      </c>
    </row>
    <row r="238" spans="1:16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  <c r="O238" t="str">
        <f>IF(OR(F238&lt;'EDA Analysis'!$B$22,F238&gt;'EDA Analysis'!$B$23),"OUTLIER","Normal")</f>
        <v>Normal</v>
      </c>
      <c r="P238" t="str">
        <f>IF(OR(N238&lt;'EDA Analysis'!$E$6,N238&gt;'EDA Analysis'!$E$7),"OUTLIER","Normal")</f>
        <v>Normal</v>
      </c>
    </row>
    <row r="239" spans="1:16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  <c r="O239" t="str">
        <f>IF(OR(F239&lt;'EDA Analysis'!$B$22,F239&gt;'EDA Analysis'!$B$23),"OUTLIER","Normal")</f>
        <v>Normal</v>
      </c>
      <c r="P239" t="str">
        <f>IF(OR(N239&lt;'EDA Analysis'!$E$6,N239&gt;'EDA Analysis'!$E$7),"OUTLIER","Normal")</f>
        <v>Normal</v>
      </c>
    </row>
    <row r="240" spans="1:16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  <c r="O240" t="str">
        <f>IF(OR(F240&lt;'EDA Analysis'!$B$22,F240&gt;'EDA Analysis'!$B$23),"OUTLIER","Normal")</f>
        <v>Normal</v>
      </c>
      <c r="P240" t="str">
        <f>IF(OR(N240&lt;'EDA Analysis'!$E$6,N240&gt;'EDA Analysis'!$E$7),"OUTLIER","Normal")</f>
        <v>Normal</v>
      </c>
    </row>
    <row r="241" spans="1:16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  <c r="O241" t="str">
        <f>IF(OR(F241&lt;'EDA Analysis'!$B$22,F241&gt;'EDA Analysis'!$B$23),"OUTLIER","Normal")</f>
        <v>Normal</v>
      </c>
      <c r="P241" t="str">
        <f>IF(OR(N241&lt;'EDA Analysis'!$E$6,N241&gt;'EDA Analysis'!$E$7),"OUTLIER","Normal")</f>
        <v>Normal</v>
      </c>
    </row>
    <row r="242" spans="1:16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  <c r="O242" t="str">
        <f>IF(OR(F242&lt;'EDA Analysis'!$B$22,F242&gt;'EDA Analysis'!$B$23),"OUTLIER","Normal")</f>
        <v>Normal</v>
      </c>
      <c r="P242" t="str">
        <f>IF(OR(N242&lt;'EDA Analysis'!$E$6,N242&gt;'EDA Analysis'!$E$7),"OUTLIER","Normal")</f>
        <v>Normal</v>
      </c>
    </row>
    <row r="243" spans="1:16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  <c r="O243" t="str">
        <f>IF(OR(F243&lt;'EDA Analysis'!$B$22,F243&gt;'EDA Analysis'!$B$23),"OUTLIER","Normal")</f>
        <v>Normal</v>
      </c>
      <c r="P243" t="str">
        <f>IF(OR(N243&lt;'EDA Analysis'!$E$6,N243&gt;'EDA Analysis'!$E$7),"OUTLIER","Normal")</f>
        <v>Normal</v>
      </c>
    </row>
    <row r="244" spans="1:16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  <c r="O244" t="str">
        <f>IF(OR(F244&lt;'EDA Analysis'!$B$22,F244&gt;'EDA Analysis'!$B$23),"OUTLIER","Normal")</f>
        <v>Normal</v>
      </c>
      <c r="P244" t="str">
        <f>IF(OR(N244&lt;'EDA Analysis'!$E$6,N244&gt;'EDA Analysis'!$E$7),"OUTLIER","Normal")</f>
        <v>Normal</v>
      </c>
    </row>
    <row r="245" spans="1:16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  <c r="O245" t="str">
        <f>IF(OR(F245&lt;'EDA Analysis'!$B$22,F245&gt;'EDA Analysis'!$B$23),"OUTLIER","Normal")</f>
        <v>Normal</v>
      </c>
      <c r="P245" t="str">
        <f>IF(OR(N245&lt;'EDA Analysis'!$E$6,N245&gt;'EDA Analysis'!$E$7),"OUTLIER","Normal")</f>
        <v>Normal</v>
      </c>
    </row>
    <row r="246" spans="1:16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  <c r="O246" t="str">
        <f>IF(OR(F246&lt;'EDA Analysis'!$B$22,F246&gt;'EDA Analysis'!$B$23),"OUTLIER","Normal")</f>
        <v>Normal</v>
      </c>
      <c r="P246" t="str">
        <f>IF(OR(N246&lt;'EDA Analysis'!$E$6,N246&gt;'EDA Analysis'!$E$7),"OUTLIER","Normal")</f>
        <v>Normal</v>
      </c>
    </row>
    <row r="247" spans="1:16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  <c r="O247" t="str">
        <f>IF(OR(F247&lt;'EDA Analysis'!$B$22,F247&gt;'EDA Analysis'!$B$23),"OUTLIER","Normal")</f>
        <v>Normal</v>
      </c>
      <c r="P247" t="str">
        <f>IF(OR(N247&lt;'EDA Analysis'!$E$6,N247&gt;'EDA Analysis'!$E$7),"OUTLIER","Normal")</f>
        <v>Normal</v>
      </c>
    </row>
    <row r="248" spans="1:16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  <c r="O248" t="str">
        <f>IF(OR(F248&lt;'EDA Analysis'!$B$22,F248&gt;'EDA Analysis'!$B$23),"OUTLIER","Normal")</f>
        <v>Normal</v>
      </c>
      <c r="P248" t="str">
        <f>IF(OR(N248&lt;'EDA Analysis'!$E$6,N248&gt;'EDA Analysis'!$E$7),"OUTLIER","Normal")</f>
        <v>Normal</v>
      </c>
    </row>
    <row r="249" spans="1:16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  <c r="O249" t="str">
        <f>IF(OR(F249&lt;'EDA Analysis'!$B$22,F249&gt;'EDA Analysis'!$B$23),"OUTLIER","Normal")</f>
        <v>Normal</v>
      </c>
      <c r="P249" t="str">
        <f>IF(OR(N249&lt;'EDA Analysis'!$E$6,N249&gt;'EDA Analysis'!$E$7),"OUTLIER","Normal")</f>
        <v>Normal</v>
      </c>
    </row>
    <row r="250" spans="1:16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  <c r="O250" t="str">
        <f>IF(OR(F250&lt;'EDA Analysis'!$B$22,F250&gt;'EDA Analysis'!$B$23),"OUTLIER","Normal")</f>
        <v>Normal</v>
      </c>
      <c r="P250" t="str">
        <f>IF(OR(N250&lt;'EDA Analysis'!$E$6,N250&gt;'EDA Analysis'!$E$7),"OUTLIER","Normal")</f>
        <v>Normal</v>
      </c>
    </row>
    <row r="251" spans="1:16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  <c r="O251" t="str">
        <f>IF(OR(F251&lt;'EDA Analysis'!$B$22,F251&gt;'EDA Analysis'!$B$23),"OUTLIER","Normal")</f>
        <v>Normal</v>
      </c>
      <c r="P251" t="str">
        <f>IF(OR(N251&lt;'EDA Analysis'!$E$6,N251&gt;'EDA Analysis'!$E$7),"OUTLIER","Normal")</f>
        <v>Normal</v>
      </c>
    </row>
    <row r="252" spans="1:16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  <c r="O252" t="str">
        <f>IF(OR(F252&lt;'EDA Analysis'!$B$22,F252&gt;'EDA Analysis'!$B$23),"OUTLIER","Normal")</f>
        <v>Normal</v>
      </c>
      <c r="P252" t="str">
        <f>IF(OR(N252&lt;'EDA Analysis'!$E$6,N252&gt;'EDA Analysis'!$E$7),"OUTLIER","Normal")</f>
        <v>Normal</v>
      </c>
    </row>
    <row r="253" spans="1:16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  <c r="O253" t="str">
        <f>IF(OR(F253&lt;'EDA Analysis'!$B$22,F253&gt;'EDA Analysis'!$B$23),"OUTLIER","Normal")</f>
        <v>Normal</v>
      </c>
      <c r="P253" t="str">
        <f>IF(OR(N253&lt;'EDA Analysis'!$E$6,N253&gt;'EDA Analysis'!$E$7),"OUTLIER","Normal")</f>
        <v>Normal</v>
      </c>
    </row>
    <row r="254" spans="1:16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  <c r="O254" t="str">
        <f>IF(OR(F254&lt;'EDA Analysis'!$B$22,F254&gt;'EDA Analysis'!$B$23),"OUTLIER","Normal")</f>
        <v>Normal</v>
      </c>
      <c r="P254" t="str">
        <f>IF(OR(N254&lt;'EDA Analysis'!$E$6,N254&gt;'EDA Analysis'!$E$7),"OUTLIER","Normal")</f>
        <v>Normal</v>
      </c>
    </row>
    <row r="255" spans="1:16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  <c r="O255" t="str">
        <f>IF(OR(F255&lt;'EDA Analysis'!$B$22,F255&gt;'EDA Analysis'!$B$23),"OUTLIER","Normal")</f>
        <v>Normal</v>
      </c>
      <c r="P255" t="str">
        <f>IF(OR(N255&lt;'EDA Analysis'!$E$6,N255&gt;'EDA Analysis'!$E$7),"OUTLIER","Normal")</f>
        <v>Normal</v>
      </c>
    </row>
    <row r="256" spans="1:16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  <c r="O256" t="str">
        <f>IF(OR(F256&lt;'EDA Analysis'!$B$22,F256&gt;'EDA Analysis'!$B$23),"OUTLIER","Normal")</f>
        <v>Normal</v>
      </c>
      <c r="P256" t="str">
        <f>IF(OR(N256&lt;'EDA Analysis'!$E$6,N256&gt;'EDA Analysis'!$E$7),"OUTLIER","Normal")</f>
        <v>Normal</v>
      </c>
    </row>
    <row r="257" spans="1:16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  <c r="O257" t="str">
        <f>IF(OR(F257&lt;'EDA Analysis'!$B$22,F257&gt;'EDA Analysis'!$B$23),"OUTLIER","Normal")</f>
        <v>Normal</v>
      </c>
      <c r="P257" t="str">
        <f>IF(OR(N257&lt;'EDA Analysis'!$E$6,N257&gt;'EDA Analysis'!$E$7),"OUTLIER","Normal")</f>
        <v>Normal</v>
      </c>
    </row>
    <row r="258" spans="1:16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  <c r="O258" t="str">
        <f>IF(OR(F258&lt;'EDA Analysis'!$B$22,F258&gt;'EDA Analysis'!$B$23),"OUTLIER","Normal")</f>
        <v>Normal</v>
      </c>
      <c r="P258" t="str">
        <f>IF(OR(N258&lt;'EDA Analysis'!$E$6,N258&gt;'EDA Analysis'!$E$7),"OUTLIER","Normal")</f>
        <v>Normal</v>
      </c>
    </row>
    <row r="259" spans="1:16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  <c r="O259" t="str">
        <f>IF(OR(F259&lt;'EDA Analysis'!$B$22,F259&gt;'EDA Analysis'!$B$23),"OUTLIER","Normal")</f>
        <v>Normal</v>
      </c>
      <c r="P259" t="str">
        <f>IF(OR(N259&lt;'EDA Analysis'!$E$6,N259&gt;'EDA Analysis'!$E$7),"OUTLIER","Normal")</f>
        <v>Normal</v>
      </c>
    </row>
    <row r="260" spans="1:16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  <c r="O260" t="str">
        <f>IF(OR(F260&lt;'EDA Analysis'!$B$22,F260&gt;'EDA Analysis'!$B$23),"OUTLIER","Normal")</f>
        <v>Normal</v>
      </c>
      <c r="P260" t="str">
        <f>IF(OR(N260&lt;'EDA Analysis'!$E$6,N260&gt;'EDA Analysis'!$E$7),"OUTLIER","Normal")</f>
        <v>Normal</v>
      </c>
    </row>
    <row r="261" spans="1:16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  <c r="O261" t="str">
        <f>IF(OR(F261&lt;'EDA Analysis'!$B$22,F261&gt;'EDA Analysis'!$B$23),"OUTLIER","Normal")</f>
        <v>Normal</v>
      </c>
      <c r="P261" t="str">
        <f>IF(OR(N261&lt;'EDA Analysis'!$E$6,N261&gt;'EDA Analysis'!$E$7),"OUTLIER","Normal")</f>
        <v>Normal</v>
      </c>
    </row>
    <row r="262" spans="1:16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  <c r="O262" t="str">
        <f>IF(OR(F262&lt;'EDA Analysis'!$B$22,F262&gt;'EDA Analysis'!$B$23),"OUTLIER","Normal")</f>
        <v>Normal</v>
      </c>
      <c r="P262" t="str">
        <f>IF(OR(N262&lt;'EDA Analysis'!$E$6,N262&gt;'EDA Analysis'!$E$7),"OUTLIER","Normal")</f>
        <v>Normal</v>
      </c>
    </row>
    <row r="263" spans="1:16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  <c r="O263" t="str">
        <f>IF(OR(F263&lt;'EDA Analysis'!$B$22,F263&gt;'EDA Analysis'!$B$23),"OUTLIER","Normal")</f>
        <v>Normal</v>
      </c>
      <c r="P263" t="str">
        <f>IF(OR(N263&lt;'EDA Analysis'!$E$6,N263&gt;'EDA Analysis'!$E$7),"OUTLIER","Normal")</f>
        <v>Normal</v>
      </c>
    </row>
    <row r="264" spans="1:16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  <c r="O264" t="str">
        <f>IF(OR(F264&lt;'EDA Analysis'!$B$22,F264&gt;'EDA Analysis'!$B$23),"OUTLIER","Normal")</f>
        <v>Normal</v>
      </c>
      <c r="P264" t="str">
        <f>IF(OR(N264&lt;'EDA Analysis'!$E$6,N264&gt;'EDA Analysis'!$E$7),"OUTLIER","Normal")</f>
        <v>Normal</v>
      </c>
    </row>
    <row r="265" spans="1:16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  <c r="O265" t="str">
        <f>IF(OR(F265&lt;'EDA Analysis'!$B$22,F265&gt;'EDA Analysis'!$B$23),"OUTLIER","Normal")</f>
        <v>Normal</v>
      </c>
      <c r="P265" t="str">
        <f>IF(OR(N265&lt;'EDA Analysis'!$E$6,N265&gt;'EDA Analysis'!$E$7),"OUTLIER","Normal")</f>
        <v>Normal</v>
      </c>
    </row>
    <row r="266" spans="1:16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  <c r="O266" t="str">
        <f>IF(OR(F266&lt;'EDA Analysis'!$B$22,F266&gt;'EDA Analysis'!$B$23),"OUTLIER","Normal")</f>
        <v>Normal</v>
      </c>
      <c r="P266" t="str">
        <f>IF(OR(N266&lt;'EDA Analysis'!$E$6,N266&gt;'EDA Analysis'!$E$7),"OUTLIER","Normal")</f>
        <v>Normal</v>
      </c>
    </row>
    <row r="267" spans="1:16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  <c r="O267" t="str">
        <f>IF(OR(F267&lt;'EDA Analysis'!$B$22,F267&gt;'EDA Analysis'!$B$23),"OUTLIER","Normal")</f>
        <v>Normal</v>
      </c>
      <c r="P267" t="str">
        <f>IF(OR(N267&lt;'EDA Analysis'!$E$6,N267&gt;'EDA Analysis'!$E$7),"OUTLIER","Normal")</f>
        <v>Normal</v>
      </c>
    </row>
    <row r="268" spans="1:16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  <c r="O268" t="str">
        <f>IF(OR(F268&lt;'EDA Analysis'!$B$22,F268&gt;'EDA Analysis'!$B$23),"OUTLIER","Normal")</f>
        <v>Normal</v>
      </c>
      <c r="P268" t="str">
        <f>IF(OR(N268&lt;'EDA Analysis'!$E$6,N268&gt;'EDA Analysis'!$E$7),"OUTLIER","Normal")</f>
        <v>Normal</v>
      </c>
    </row>
    <row r="269" spans="1:16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  <c r="O269" t="str">
        <f>IF(OR(F269&lt;'EDA Analysis'!$B$22,F269&gt;'EDA Analysis'!$B$23),"OUTLIER","Normal")</f>
        <v>Normal</v>
      </c>
      <c r="P269" t="str">
        <f>IF(OR(N269&lt;'EDA Analysis'!$E$6,N269&gt;'EDA Analysis'!$E$7),"OUTLIER","Normal")</f>
        <v>Normal</v>
      </c>
    </row>
    <row r="270" spans="1:16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  <c r="O270" t="str">
        <f>IF(OR(F270&lt;'EDA Analysis'!$B$22,F270&gt;'EDA Analysis'!$B$23),"OUTLIER","Normal")</f>
        <v>Normal</v>
      </c>
      <c r="P270" t="str">
        <f>IF(OR(N270&lt;'EDA Analysis'!$E$6,N270&gt;'EDA Analysis'!$E$7),"OUTLIER","Normal")</f>
        <v>Normal</v>
      </c>
    </row>
    <row r="271" spans="1:16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  <c r="O271" t="str">
        <f>IF(OR(F271&lt;'EDA Analysis'!$B$22,F271&gt;'EDA Analysis'!$B$23),"OUTLIER","Normal")</f>
        <v>Normal</v>
      </c>
      <c r="P271" t="str">
        <f>IF(OR(N271&lt;'EDA Analysis'!$E$6,N271&gt;'EDA Analysis'!$E$7),"OUTLIER","Normal")</f>
        <v>Normal</v>
      </c>
    </row>
    <row r="272" spans="1:16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  <c r="O272" t="str">
        <f>IF(OR(F272&lt;'EDA Analysis'!$B$22,F272&gt;'EDA Analysis'!$B$23),"OUTLIER","Normal")</f>
        <v>Normal</v>
      </c>
      <c r="P272" t="str">
        <f>IF(OR(N272&lt;'EDA Analysis'!$E$6,N272&gt;'EDA Analysis'!$E$7),"OUTLIER","Normal")</f>
        <v>Normal</v>
      </c>
    </row>
    <row r="273" spans="1:16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  <c r="O273" t="str">
        <f>IF(OR(F273&lt;'EDA Analysis'!$B$22,F273&gt;'EDA Analysis'!$B$23),"OUTLIER","Normal")</f>
        <v>Normal</v>
      </c>
      <c r="P273" t="str">
        <f>IF(OR(N273&lt;'EDA Analysis'!$E$6,N273&gt;'EDA Analysis'!$E$7),"OUTLIER","Normal")</f>
        <v>Normal</v>
      </c>
    </row>
    <row r="274" spans="1:16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  <c r="O274" t="str">
        <f>IF(OR(F274&lt;'EDA Analysis'!$B$22,F274&gt;'EDA Analysis'!$B$23),"OUTLIER","Normal")</f>
        <v>Normal</v>
      </c>
      <c r="P274" t="str">
        <f>IF(OR(N274&lt;'EDA Analysis'!$E$6,N274&gt;'EDA Analysis'!$E$7),"OUTLIER","Normal")</f>
        <v>Normal</v>
      </c>
    </row>
    <row r="275" spans="1:16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  <c r="O275" t="str">
        <f>IF(OR(F275&lt;'EDA Analysis'!$B$22,F275&gt;'EDA Analysis'!$B$23),"OUTLIER","Normal")</f>
        <v>Normal</v>
      </c>
      <c r="P275" t="str">
        <f>IF(OR(N275&lt;'EDA Analysis'!$E$6,N275&gt;'EDA Analysis'!$E$7),"OUTLIER","Normal")</f>
        <v>Normal</v>
      </c>
    </row>
    <row r="276" spans="1:16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  <c r="O276" t="str">
        <f>IF(OR(F276&lt;'EDA Analysis'!$B$22,F276&gt;'EDA Analysis'!$B$23),"OUTLIER","Normal")</f>
        <v>Normal</v>
      </c>
      <c r="P276" t="str">
        <f>IF(OR(N276&lt;'EDA Analysis'!$E$6,N276&gt;'EDA Analysis'!$E$7),"OUTLIER","Normal")</f>
        <v>Normal</v>
      </c>
    </row>
    <row r="277" spans="1:16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  <c r="O277" t="str">
        <f>IF(OR(F277&lt;'EDA Analysis'!$B$22,F277&gt;'EDA Analysis'!$B$23),"OUTLIER","Normal")</f>
        <v>Normal</v>
      </c>
      <c r="P277" t="str">
        <f>IF(OR(N277&lt;'EDA Analysis'!$E$6,N277&gt;'EDA Analysis'!$E$7),"OUTLIER","Normal")</f>
        <v>Normal</v>
      </c>
    </row>
    <row r="278" spans="1:16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  <c r="O278" t="str">
        <f>IF(OR(F278&lt;'EDA Analysis'!$B$22,F278&gt;'EDA Analysis'!$B$23),"OUTLIER","Normal")</f>
        <v>Normal</v>
      </c>
      <c r="P278" t="str">
        <f>IF(OR(N278&lt;'EDA Analysis'!$E$6,N278&gt;'EDA Analysis'!$E$7),"OUTLIER","Normal")</f>
        <v>Normal</v>
      </c>
    </row>
    <row r="279" spans="1:16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  <c r="O279" t="str">
        <f>IF(OR(F279&lt;'EDA Analysis'!$B$22,F279&gt;'EDA Analysis'!$B$23),"OUTLIER","Normal")</f>
        <v>Normal</v>
      </c>
      <c r="P279" t="str">
        <f>IF(OR(N279&lt;'EDA Analysis'!$E$6,N279&gt;'EDA Analysis'!$E$7),"OUTLIER","Normal")</f>
        <v>Normal</v>
      </c>
    </row>
    <row r="280" spans="1:16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  <c r="O280" t="str">
        <f>IF(OR(F280&lt;'EDA Analysis'!$B$22,F280&gt;'EDA Analysis'!$B$23),"OUTLIER","Normal")</f>
        <v>Normal</v>
      </c>
      <c r="P280" t="str">
        <f>IF(OR(N280&lt;'EDA Analysis'!$E$6,N280&gt;'EDA Analysis'!$E$7),"OUTLIER","Normal")</f>
        <v>Normal</v>
      </c>
    </row>
    <row r="281" spans="1:16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  <c r="O281" t="str">
        <f>IF(OR(F281&lt;'EDA Analysis'!$B$22,F281&gt;'EDA Analysis'!$B$23),"OUTLIER","Normal")</f>
        <v>Normal</v>
      </c>
      <c r="P281" t="str">
        <f>IF(OR(N281&lt;'EDA Analysis'!$E$6,N281&gt;'EDA Analysis'!$E$7),"OUTLIER","Normal")</f>
        <v>Normal</v>
      </c>
    </row>
    <row r="282" spans="1:16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  <c r="O282" t="str">
        <f>IF(OR(F282&lt;'EDA Analysis'!$B$22,F282&gt;'EDA Analysis'!$B$23),"OUTLIER","Normal")</f>
        <v>Normal</v>
      </c>
      <c r="P282" t="str">
        <f>IF(OR(N282&lt;'EDA Analysis'!$E$6,N282&gt;'EDA Analysis'!$E$7),"OUTLIER","Normal")</f>
        <v>Normal</v>
      </c>
    </row>
    <row r="283" spans="1:16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  <c r="O283" t="str">
        <f>IF(OR(F283&lt;'EDA Analysis'!$B$22,F283&gt;'EDA Analysis'!$B$23),"OUTLIER","Normal")</f>
        <v>Normal</v>
      </c>
      <c r="P283" t="str">
        <f>IF(OR(N283&lt;'EDA Analysis'!$E$6,N283&gt;'EDA Analysis'!$E$7),"OUTLIER","Normal")</f>
        <v>Normal</v>
      </c>
    </row>
    <row r="284" spans="1:16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  <c r="O284" t="str">
        <f>IF(OR(F284&lt;'EDA Analysis'!$B$22,F284&gt;'EDA Analysis'!$B$23),"OUTLIER","Normal")</f>
        <v>Normal</v>
      </c>
      <c r="P284" t="str">
        <f>IF(OR(N284&lt;'EDA Analysis'!$E$6,N284&gt;'EDA Analysis'!$E$7),"OUTLIER","Normal")</f>
        <v>Normal</v>
      </c>
    </row>
    <row r="285" spans="1:16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  <c r="O285" t="str">
        <f>IF(OR(F285&lt;'EDA Analysis'!$B$22,F285&gt;'EDA Analysis'!$B$23),"OUTLIER","Normal")</f>
        <v>Normal</v>
      </c>
      <c r="P285" t="str">
        <f>IF(OR(N285&lt;'EDA Analysis'!$E$6,N285&gt;'EDA Analysis'!$E$7),"OUTLIER","Normal")</f>
        <v>Normal</v>
      </c>
    </row>
    <row r="286" spans="1:16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  <c r="O286" t="str">
        <f>IF(OR(F286&lt;'EDA Analysis'!$B$22,F286&gt;'EDA Analysis'!$B$23),"OUTLIER","Normal")</f>
        <v>Normal</v>
      </c>
      <c r="P286" t="str">
        <f>IF(OR(N286&lt;'EDA Analysis'!$E$6,N286&gt;'EDA Analysis'!$E$7),"OUTLIER","Normal")</f>
        <v>Normal</v>
      </c>
    </row>
    <row r="287" spans="1:16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  <c r="O287" t="str">
        <f>IF(OR(F287&lt;'EDA Analysis'!$B$22,F287&gt;'EDA Analysis'!$B$23),"OUTLIER","Normal")</f>
        <v>Normal</v>
      </c>
      <c r="P287" t="str">
        <f>IF(OR(N287&lt;'EDA Analysis'!$E$6,N287&gt;'EDA Analysis'!$E$7),"OUTLIER","Normal")</f>
        <v>Normal</v>
      </c>
    </row>
    <row r="288" spans="1:16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  <c r="O288" t="str">
        <f>IF(OR(F288&lt;'EDA Analysis'!$B$22,F288&gt;'EDA Analysis'!$B$23),"OUTLIER","Normal")</f>
        <v>Normal</v>
      </c>
      <c r="P288" t="str">
        <f>IF(OR(N288&lt;'EDA Analysis'!$E$6,N288&gt;'EDA Analysis'!$E$7),"OUTLIER","Normal")</f>
        <v>Normal</v>
      </c>
    </row>
    <row r="289" spans="1:16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  <c r="O289" t="str">
        <f>IF(OR(F289&lt;'EDA Analysis'!$B$22,F289&gt;'EDA Analysis'!$B$23),"OUTLIER","Normal")</f>
        <v>Normal</v>
      </c>
      <c r="P289" t="str">
        <f>IF(OR(N289&lt;'EDA Analysis'!$E$6,N289&gt;'EDA Analysis'!$E$7),"OUTLIER","Normal")</f>
        <v>Normal</v>
      </c>
    </row>
    <row r="290" spans="1:16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  <c r="O290" t="str">
        <f>IF(OR(F290&lt;'EDA Analysis'!$B$22,F290&gt;'EDA Analysis'!$B$23),"OUTLIER","Normal")</f>
        <v>Normal</v>
      </c>
      <c r="P290" t="str">
        <f>IF(OR(N290&lt;'EDA Analysis'!$E$6,N290&gt;'EDA Analysis'!$E$7),"OUTLIER","Normal")</f>
        <v>Normal</v>
      </c>
    </row>
    <row r="291" spans="1:16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  <c r="O291" t="str">
        <f>IF(OR(F291&lt;'EDA Analysis'!$B$22,F291&gt;'EDA Analysis'!$B$23),"OUTLIER","Normal")</f>
        <v>Normal</v>
      </c>
      <c r="P291" t="str">
        <f>IF(OR(N291&lt;'EDA Analysis'!$E$6,N291&gt;'EDA Analysis'!$E$7),"OUTLIER","Normal")</f>
        <v>Normal</v>
      </c>
    </row>
    <row r="292" spans="1:16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  <c r="O292" t="str">
        <f>IF(OR(F292&lt;'EDA Analysis'!$B$22,F292&gt;'EDA Analysis'!$B$23),"OUTLIER","Normal")</f>
        <v>Normal</v>
      </c>
      <c r="P292" t="str">
        <f>IF(OR(N292&lt;'EDA Analysis'!$E$6,N292&gt;'EDA Analysis'!$E$7),"OUTLIER","Normal")</f>
        <v>Normal</v>
      </c>
    </row>
    <row r="293" spans="1:16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  <c r="O293" t="str">
        <f>IF(OR(F293&lt;'EDA Analysis'!$B$22,F293&gt;'EDA Analysis'!$B$23),"OUTLIER","Normal")</f>
        <v>Normal</v>
      </c>
      <c r="P293" t="str">
        <f>IF(OR(N293&lt;'EDA Analysis'!$E$6,N293&gt;'EDA Analysis'!$E$7),"OUTLIER","Normal")</f>
        <v>Normal</v>
      </c>
    </row>
    <row r="294" spans="1:16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  <c r="O294" t="str">
        <f>IF(OR(F294&lt;'EDA Analysis'!$B$22,F294&gt;'EDA Analysis'!$B$23),"OUTLIER","Normal")</f>
        <v>Normal</v>
      </c>
      <c r="P294" t="str">
        <f>IF(OR(N294&lt;'EDA Analysis'!$E$6,N294&gt;'EDA Analysis'!$E$7),"OUTLIER","Normal")</f>
        <v>Normal</v>
      </c>
    </row>
    <row r="295" spans="1:16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  <c r="O295" t="str">
        <f>IF(OR(F295&lt;'EDA Analysis'!$B$22,F295&gt;'EDA Analysis'!$B$23),"OUTLIER","Normal")</f>
        <v>Normal</v>
      </c>
      <c r="P295" t="str">
        <f>IF(OR(N295&lt;'EDA Analysis'!$E$6,N295&gt;'EDA Analysis'!$E$7),"OUTLIER","Normal")</f>
        <v>Normal</v>
      </c>
    </row>
    <row r="296" spans="1:16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  <c r="O296" t="str">
        <f>IF(OR(F296&lt;'EDA Analysis'!$B$22,F296&gt;'EDA Analysis'!$B$23),"OUTLIER","Normal")</f>
        <v>Normal</v>
      </c>
      <c r="P296" t="str">
        <f>IF(OR(N296&lt;'EDA Analysis'!$E$6,N296&gt;'EDA Analysis'!$E$7),"OUTLIER","Normal")</f>
        <v>Normal</v>
      </c>
    </row>
    <row r="297" spans="1:16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  <c r="O297" t="str">
        <f>IF(OR(F297&lt;'EDA Analysis'!$B$22,F297&gt;'EDA Analysis'!$B$23),"OUTLIER","Normal")</f>
        <v>Normal</v>
      </c>
      <c r="P297" t="str">
        <f>IF(OR(N297&lt;'EDA Analysis'!$E$6,N297&gt;'EDA Analysis'!$E$7),"OUTLIER","Normal")</f>
        <v>Normal</v>
      </c>
    </row>
    <row r="298" spans="1:16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  <c r="O298" t="str">
        <f>IF(OR(F298&lt;'EDA Analysis'!$B$22,F298&gt;'EDA Analysis'!$B$23),"OUTLIER","Normal")</f>
        <v>Normal</v>
      </c>
      <c r="P298" t="str">
        <f>IF(OR(N298&lt;'EDA Analysis'!$E$6,N298&gt;'EDA Analysis'!$E$7),"OUTLIER","Normal")</f>
        <v>Normal</v>
      </c>
    </row>
    <row r="299" spans="1:16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  <c r="O299" t="str">
        <f>IF(OR(F299&lt;'EDA Analysis'!$B$22,F299&gt;'EDA Analysis'!$B$23),"OUTLIER","Normal")</f>
        <v>Normal</v>
      </c>
      <c r="P299" t="str">
        <f>IF(OR(N299&lt;'EDA Analysis'!$E$6,N299&gt;'EDA Analysis'!$E$7),"OUTLIER","Normal")</f>
        <v>Normal</v>
      </c>
    </row>
    <row r="300" spans="1:16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  <c r="O300" t="str">
        <f>IF(OR(F300&lt;'EDA Analysis'!$B$22,F300&gt;'EDA Analysis'!$B$23),"OUTLIER","Normal")</f>
        <v>Normal</v>
      </c>
      <c r="P300" t="str">
        <f>IF(OR(N300&lt;'EDA Analysis'!$E$6,N300&gt;'EDA Analysis'!$E$7),"OUTLIER","Normal")</f>
        <v>Normal</v>
      </c>
    </row>
    <row r="301" spans="1:16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  <c r="O301" t="str">
        <f>IF(OR(F301&lt;'EDA Analysis'!$B$22,F301&gt;'EDA Analysis'!$B$23),"OUTLIER","Normal")</f>
        <v>Normal</v>
      </c>
      <c r="P301" t="str">
        <f>IF(OR(N301&lt;'EDA Analysis'!$E$6,N301&gt;'EDA Analysis'!$E$7),"OUTLIER","Normal")</f>
        <v>Normal</v>
      </c>
    </row>
    <row r="302" spans="1:16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  <c r="O302" t="str">
        <f>IF(OR(F302&lt;'EDA Analysis'!$B$22,F302&gt;'EDA Analysis'!$B$23),"OUTLIER","Normal")</f>
        <v>Normal</v>
      </c>
      <c r="P302" t="str">
        <f>IF(OR(N302&lt;'EDA Analysis'!$E$6,N302&gt;'EDA Analysis'!$E$7),"OUTLIER","Normal")</f>
        <v>Normal</v>
      </c>
    </row>
    <row r="303" spans="1:16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  <c r="O303" t="str">
        <f>IF(OR(F303&lt;'EDA Analysis'!$B$22,F303&gt;'EDA Analysis'!$B$23),"OUTLIER","Normal")</f>
        <v>Normal</v>
      </c>
      <c r="P303" t="str">
        <f>IF(OR(N303&lt;'EDA Analysis'!$E$6,N303&gt;'EDA Analysis'!$E$7),"OUTLIER","Normal")</f>
        <v>Normal</v>
      </c>
    </row>
    <row r="304" spans="1:16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  <c r="O304" t="str">
        <f>IF(OR(F304&lt;'EDA Analysis'!$B$22,F304&gt;'EDA Analysis'!$B$23),"OUTLIER","Normal")</f>
        <v>Normal</v>
      </c>
      <c r="P304" t="str">
        <f>IF(OR(N304&lt;'EDA Analysis'!$E$6,N304&gt;'EDA Analysis'!$E$7),"OUTLIER","Normal")</f>
        <v>Normal</v>
      </c>
    </row>
    <row r="305" spans="1:16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  <c r="O305" t="str">
        <f>IF(OR(F305&lt;'EDA Analysis'!$B$22,F305&gt;'EDA Analysis'!$B$23),"OUTLIER","Normal")</f>
        <v>Normal</v>
      </c>
      <c r="P305" t="str">
        <f>IF(OR(N305&lt;'EDA Analysis'!$E$6,N305&gt;'EDA Analysis'!$E$7),"OUTLIER","Normal")</f>
        <v>Normal</v>
      </c>
    </row>
    <row r="306" spans="1:16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  <c r="O306" t="str">
        <f>IF(OR(F306&lt;'EDA Analysis'!$B$22,F306&gt;'EDA Analysis'!$B$23),"OUTLIER","Normal")</f>
        <v>Normal</v>
      </c>
      <c r="P306" t="str">
        <f>IF(OR(N306&lt;'EDA Analysis'!$E$6,N306&gt;'EDA Analysis'!$E$7),"OUTLIER","Normal")</f>
        <v>Normal</v>
      </c>
    </row>
    <row r="307" spans="1:16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  <c r="O307" t="str">
        <f>IF(OR(F307&lt;'EDA Analysis'!$B$22,F307&gt;'EDA Analysis'!$B$23),"OUTLIER","Normal")</f>
        <v>Normal</v>
      </c>
      <c r="P307" t="str">
        <f>IF(OR(N307&lt;'EDA Analysis'!$E$6,N307&gt;'EDA Analysis'!$E$7),"OUTLIER","Normal")</f>
        <v>Normal</v>
      </c>
    </row>
    <row r="308" spans="1:16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  <c r="O308" t="str">
        <f>IF(OR(F308&lt;'EDA Analysis'!$B$22,F308&gt;'EDA Analysis'!$B$23),"OUTLIER","Normal")</f>
        <v>Normal</v>
      </c>
      <c r="P308" t="str">
        <f>IF(OR(N308&lt;'EDA Analysis'!$E$6,N308&gt;'EDA Analysis'!$E$7),"OUTLIER","Normal")</f>
        <v>Normal</v>
      </c>
    </row>
    <row r="309" spans="1:16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  <c r="O309" t="str">
        <f>IF(OR(F309&lt;'EDA Analysis'!$B$22,F309&gt;'EDA Analysis'!$B$23),"OUTLIER","Normal")</f>
        <v>Normal</v>
      </c>
      <c r="P309" t="str">
        <f>IF(OR(N309&lt;'EDA Analysis'!$E$6,N309&gt;'EDA Analysis'!$E$7),"OUTLIER","Normal")</f>
        <v>Normal</v>
      </c>
    </row>
    <row r="310" spans="1:16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  <c r="O310" t="str">
        <f>IF(OR(F310&lt;'EDA Analysis'!$B$22,F310&gt;'EDA Analysis'!$B$23),"OUTLIER","Normal")</f>
        <v>Normal</v>
      </c>
      <c r="P310" t="str">
        <f>IF(OR(N310&lt;'EDA Analysis'!$E$6,N310&gt;'EDA Analysis'!$E$7),"OUTLIER","Normal")</f>
        <v>Normal</v>
      </c>
    </row>
    <row r="311" spans="1:16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  <c r="O311" t="str">
        <f>IF(OR(F311&lt;'EDA Analysis'!$B$22,F311&gt;'EDA Analysis'!$B$23),"OUTLIER","Normal")</f>
        <v>Normal</v>
      </c>
      <c r="P311" t="str">
        <f>IF(OR(N311&lt;'EDA Analysis'!$E$6,N311&gt;'EDA Analysis'!$E$7),"OUTLIER","Normal")</f>
        <v>Normal</v>
      </c>
    </row>
    <row r="312" spans="1:16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  <c r="O312" t="str">
        <f>IF(OR(F312&lt;'EDA Analysis'!$B$22,F312&gt;'EDA Analysis'!$B$23),"OUTLIER","Normal")</f>
        <v>Normal</v>
      </c>
      <c r="P312" t="str">
        <f>IF(OR(N312&lt;'EDA Analysis'!$E$6,N312&gt;'EDA Analysis'!$E$7),"OUTLIER","Normal")</f>
        <v>Normal</v>
      </c>
    </row>
    <row r="313" spans="1:16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  <c r="O313" t="str">
        <f>IF(OR(F313&lt;'EDA Analysis'!$B$22,F313&gt;'EDA Analysis'!$B$23),"OUTLIER","Normal")</f>
        <v>Normal</v>
      </c>
      <c r="P313" t="str">
        <f>IF(OR(N313&lt;'EDA Analysis'!$E$6,N313&gt;'EDA Analysis'!$E$7),"OUTLIER","Normal")</f>
        <v>Normal</v>
      </c>
    </row>
    <row r="314" spans="1:16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  <c r="O314" t="str">
        <f>IF(OR(F314&lt;'EDA Analysis'!$B$22,F314&gt;'EDA Analysis'!$B$23),"OUTLIER","Normal")</f>
        <v>Normal</v>
      </c>
      <c r="P314" t="str">
        <f>IF(OR(N314&lt;'EDA Analysis'!$E$6,N314&gt;'EDA Analysis'!$E$7),"OUTLIER","Normal")</f>
        <v>Normal</v>
      </c>
    </row>
    <row r="315" spans="1:16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  <c r="O315" t="str">
        <f>IF(OR(F315&lt;'EDA Analysis'!$B$22,F315&gt;'EDA Analysis'!$B$23),"OUTLIER","Normal")</f>
        <v>Normal</v>
      </c>
      <c r="P315" t="str">
        <f>IF(OR(N315&lt;'EDA Analysis'!$E$6,N315&gt;'EDA Analysis'!$E$7),"OUTLIER","Normal")</f>
        <v>Normal</v>
      </c>
    </row>
    <row r="316" spans="1:16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  <c r="O316" t="str">
        <f>IF(OR(F316&lt;'EDA Analysis'!$B$22,F316&gt;'EDA Analysis'!$B$23),"OUTLIER","Normal")</f>
        <v>Normal</v>
      </c>
      <c r="P316" t="str">
        <f>IF(OR(N316&lt;'EDA Analysis'!$E$6,N316&gt;'EDA Analysis'!$E$7),"OUTLIER","Normal")</f>
        <v>Normal</v>
      </c>
    </row>
    <row r="317" spans="1:16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  <c r="O317" t="str">
        <f>IF(OR(F317&lt;'EDA Analysis'!$B$22,F317&gt;'EDA Analysis'!$B$23),"OUTLIER","Normal")</f>
        <v>Normal</v>
      </c>
      <c r="P317" t="str">
        <f>IF(OR(N317&lt;'EDA Analysis'!$E$6,N317&gt;'EDA Analysis'!$E$7),"OUTLIER","Normal")</f>
        <v>Normal</v>
      </c>
    </row>
    <row r="318" spans="1:16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  <c r="O318" t="str">
        <f>IF(OR(F318&lt;'EDA Analysis'!$B$22,F318&gt;'EDA Analysis'!$B$23),"OUTLIER","Normal")</f>
        <v>Normal</v>
      </c>
      <c r="P318" t="str">
        <f>IF(OR(N318&lt;'EDA Analysis'!$E$6,N318&gt;'EDA Analysis'!$E$7),"OUTLIER","Normal")</f>
        <v>Normal</v>
      </c>
    </row>
    <row r="319" spans="1:16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  <c r="O319" t="str">
        <f>IF(OR(F319&lt;'EDA Analysis'!$B$22,F319&gt;'EDA Analysis'!$B$23),"OUTLIER","Normal")</f>
        <v>Normal</v>
      </c>
      <c r="P319" t="str">
        <f>IF(OR(N319&lt;'EDA Analysis'!$E$6,N319&gt;'EDA Analysis'!$E$7),"OUTLIER","Normal")</f>
        <v>Normal</v>
      </c>
    </row>
    <row r="320" spans="1:16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  <c r="O320" t="str">
        <f>IF(OR(F320&lt;'EDA Analysis'!$B$22,F320&gt;'EDA Analysis'!$B$23),"OUTLIER","Normal")</f>
        <v>Normal</v>
      </c>
      <c r="P320" t="str">
        <f>IF(OR(N320&lt;'EDA Analysis'!$E$6,N320&gt;'EDA Analysis'!$E$7),"OUTLIER","Normal")</f>
        <v>Normal</v>
      </c>
    </row>
    <row r="321" spans="1:16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  <c r="O321" t="str">
        <f>IF(OR(F321&lt;'EDA Analysis'!$B$22,F321&gt;'EDA Analysis'!$B$23),"OUTLIER","Normal")</f>
        <v>Normal</v>
      </c>
      <c r="P321" t="str">
        <f>IF(OR(N321&lt;'EDA Analysis'!$E$6,N321&gt;'EDA Analysis'!$E$7),"OUTLIER","Normal")</f>
        <v>Normal</v>
      </c>
    </row>
    <row r="322" spans="1:16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  <c r="O322" t="str">
        <f>IF(OR(F322&lt;'EDA Analysis'!$B$22,F322&gt;'EDA Analysis'!$B$23),"OUTLIER","Normal")</f>
        <v>Normal</v>
      </c>
      <c r="P322" t="str">
        <f>IF(OR(N322&lt;'EDA Analysis'!$E$6,N322&gt;'EDA Analysis'!$E$7),"OUTLIER","Normal")</f>
        <v>Normal</v>
      </c>
    </row>
    <row r="323" spans="1:16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  <c r="O323" t="str">
        <f>IF(OR(F323&lt;'EDA Analysis'!$B$22,F323&gt;'EDA Analysis'!$B$23),"OUTLIER","Normal")</f>
        <v>Normal</v>
      </c>
      <c r="P323" t="str">
        <f>IF(OR(N323&lt;'EDA Analysis'!$E$6,N323&gt;'EDA Analysis'!$E$7),"OUTLIER","Normal")</f>
        <v>Normal</v>
      </c>
    </row>
    <row r="324" spans="1:16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  <c r="O324" t="str">
        <f>IF(OR(F324&lt;'EDA Analysis'!$B$22,F324&gt;'EDA Analysis'!$B$23),"OUTLIER","Normal")</f>
        <v>Normal</v>
      </c>
      <c r="P324" t="str">
        <f>IF(OR(N324&lt;'EDA Analysis'!$E$6,N324&gt;'EDA Analysis'!$E$7),"OUTLIER","Normal")</f>
        <v>Normal</v>
      </c>
    </row>
    <row r="325" spans="1:16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  <c r="O325" t="str">
        <f>IF(OR(F325&lt;'EDA Analysis'!$B$22,F325&gt;'EDA Analysis'!$B$23),"OUTLIER","Normal")</f>
        <v>Normal</v>
      </c>
      <c r="P325" t="str">
        <f>IF(OR(N325&lt;'EDA Analysis'!$E$6,N325&gt;'EDA Analysis'!$E$7),"OUTLIER","Normal")</f>
        <v>Normal</v>
      </c>
    </row>
    <row r="326" spans="1:16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  <c r="O326" t="str">
        <f>IF(OR(F326&lt;'EDA Analysis'!$B$22,F326&gt;'EDA Analysis'!$B$23),"OUTLIER","Normal")</f>
        <v>Normal</v>
      </c>
      <c r="P326" t="str">
        <f>IF(OR(N326&lt;'EDA Analysis'!$E$6,N326&gt;'EDA Analysis'!$E$7),"OUTLIER","Normal")</f>
        <v>Normal</v>
      </c>
    </row>
    <row r="327" spans="1:16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  <c r="O327" t="str">
        <f>IF(OR(F327&lt;'EDA Analysis'!$B$22,F327&gt;'EDA Analysis'!$B$23),"OUTLIER","Normal")</f>
        <v>Normal</v>
      </c>
      <c r="P327" t="str">
        <f>IF(OR(N327&lt;'EDA Analysis'!$E$6,N327&gt;'EDA Analysis'!$E$7),"OUTLIER","Normal")</f>
        <v>Normal</v>
      </c>
    </row>
    <row r="328" spans="1:16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  <c r="O328" t="str">
        <f>IF(OR(F328&lt;'EDA Analysis'!$B$22,F328&gt;'EDA Analysis'!$B$23),"OUTLIER","Normal")</f>
        <v>Normal</v>
      </c>
      <c r="P328" t="str">
        <f>IF(OR(N328&lt;'EDA Analysis'!$E$6,N328&gt;'EDA Analysis'!$E$7),"OUTLIER","Normal")</f>
        <v>OUTLIER</v>
      </c>
    </row>
    <row r="329" spans="1:16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  <c r="O329" t="str">
        <f>IF(OR(F329&lt;'EDA Analysis'!$B$22,F329&gt;'EDA Analysis'!$B$23),"OUTLIER","Normal")</f>
        <v>Normal</v>
      </c>
      <c r="P329" t="str">
        <f>IF(OR(N329&lt;'EDA Analysis'!$E$6,N329&gt;'EDA Analysis'!$E$7),"OUTLIER","Normal")</f>
        <v>Normal</v>
      </c>
    </row>
    <row r="330" spans="1:16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  <c r="O330" t="str">
        <f>IF(OR(F330&lt;'EDA Analysis'!$B$22,F330&gt;'EDA Analysis'!$B$23),"OUTLIER","Normal")</f>
        <v>Normal</v>
      </c>
      <c r="P330" t="str">
        <f>IF(OR(N330&lt;'EDA Analysis'!$E$6,N330&gt;'EDA Analysis'!$E$7),"OUTLIER","Normal")</f>
        <v>OUTLIER</v>
      </c>
    </row>
    <row r="331" spans="1:16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  <c r="O331" t="str">
        <f>IF(OR(F331&lt;'EDA Analysis'!$B$22,F331&gt;'EDA Analysis'!$B$23),"OUTLIER","Normal")</f>
        <v>Normal</v>
      </c>
      <c r="P331" t="str">
        <f>IF(OR(N331&lt;'EDA Analysis'!$E$6,N331&gt;'EDA Analysis'!$E$7),"OUTLIER","Normal")</f>
        <v>Normal</v>
      </c>
    </row>
    <row r="332" spans="1:16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  <c r="O332" t="str">
        <f>IF(OR(F332&lt;'EDA Analysis'!$B$22,F332&gt;'EDA Analysis'!$B$23),"OUTLIER","Normal")</f>
        <v>Normal</v>
      </c>
      <c r="P332" t="str">
        <f>IF(OR(N332&lt;'EDA Analysis'!$E$6,N332&gt;'EDA Analysis'!$E$7),"OUTLIER","Normal")</f>
        <v>Normal</v>
      </c>
    </row>
    <row r="333" spans="1:16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  <c r="O333" t="str">
        <f>IF(OR(F333&lt;'EDA Analysis'!$B$22,F333&gt;'EDA Analysis'!$B$23),"OUTLIER","Normal")</f>
        <v>Normal</v>
      </c>
      <c r="P333" t="str">
        <f>IF(OR(N333&lt;'EDA Analysis'!$E$6,N333&gt;'EDA Analysis'!$E$7),"OUTLIER","Normal")</f>
        <v>Normal</v>
      </c>
    </row>
    <row r="334" spans="1:16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  <c r="O334" t="str">
        <f>IF(OR(F334&lt;'EDA Analysis'!$B$22,F334&gt;'EDA Analysis'!$B$23),"OUTLIER","Normal")</f>
        <v>Normal</v>
      </c>
      <c r="P334" t="str">
        <f>IF(OR(N334&lt;'EDA Analysis'!$E$6,N334&gt;'EDA Analysis'!$E$7),"OUTLIER","Normal")</f>
        <v>Normal</v>
      </c>
    </row>
    <row r="335" spans="1:16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  <c r="O335" t="str">
        <f>IF(OR(F335&lt;'EDA Analysis'!$B$22,F335&gt;'EDA Analysis'!$B$23),"OUTLIER","Normal")</f>
        <v>Normal</v>
      </c>
      <c r="P335" t="str">
        <f>IF(OR(N335&lt;'EDA Analysis'!$E$6,N335&gt;'EDA Analysis'!$E$7),"OUTLIER","Normal")</f>
        <v>Normal</v>
      </c>
    </row>
    <row r="336" spans="1:16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  <c r="O336" t="str">
        <f>IF(OR(F336&lt;'EDA Analysis'!$B$22,F336&gt;'EDA Analysis'!$B$23),"OUTLIER","Normal")</f>
        <v>Normal</v>
      </c>
      <c r="P336" t="str">
        <f>IF(OR(N336&lt;'EDA Analysis'!$E$6,N336&gt;'EDA Analysis'!$E$7),"OUTLIER","Normal")</f>
        <v>Normal</v>
      </c>
    </row>
    <row r="337" spans="1:16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  <c r="O337" t="str">
        <f>IF(OR(F337&lt;'EDA Analysis'!$B$22,F337&gt;'EDA Analysis'!$B$23),"OUTLIER","Normal")</f>
        <v>Normal</v>
      </c>
      <c r="P337" t="str">
        <f>IF(OR(N337&lt;'EDA Analysis'!$E$6,N337&gt;'EDA Analysis'!$E$7),"OUTLIER","Normal")</f>
        <v>Normal</v>
      </c>
    </row>
    <row r="338" spans="1:16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  <c r="O338" t="str">
        <f>IF(OR(F338&lt;'EDA Analysis'!$B$22,F338&gt;'EDA Analysis'!$B$23),"OUTLIER","Normal")</f>
        <v>Normal</v>
      </c>
      <c r="P338" t="str">
        <f>IF(OR(N338&lt;'EDA Analysis'!$E$6,N338&gt;'EDA Analysis'!$E$7),"OUTLIER","Normal")</f>
        <v>Normal</v>
      </c>
    </row>
    <row r="339" spans="1:16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  <c r="O339" t="str">
        <f>IF(OR(F339&lt;'EDA Analysis'!$B$22,F339&gt;'EDA Analysis'!$B$23),"OUTLIER","Normal")</f>
        <v>Normal</v>
      </c>
      <c r="P339" t="str">
        <f>IF(OR(N339&lt;'EDA Analysis'!$E$6,N339&gt;'EDA Analysis'!$E$7),"OUTLIER","Normal")</f>
        <v>Normal</v>
      </c>
    </row>
    <row r="340" spans="1:16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  <c r="O340" t="str">
        <f>IF(OR(F340&lt;'EDA Analysis'!$B$22,F340&gt;'EDA Analysis'!$B$23),"OUTLIER","Normal")</f>
        <v>Normal</v>
      </c>
      <c r="P340" t="str">
        <f>IF(OR(N340&lt;'EDA Analysis'!$E$6,N340&gt;'EDA Analysis'!$E$7),"OUTLIER","Normal")</f>
        <v>Normal</v>
      </c>
    </row>
    <row r="341" spans="1:16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  <c r="O341" t="str">
        <f>IF(OR(F341&lt;'EDA Analysis'!$B$22,F341&gt;'EDA Analysis'!$B$23),"OUTLIER","Normal")</f>
        <v>Normal</v>
      </c>
      <c r="P341" t="str">
        <f>IF(OR(N341&lt;'EDA Analysis'!$E$6,N341&gt;'EDA Analysis'!$E$7),"OUTLIER","Normal")</f>
        <v>Normal</v>
      </c>
    </row>
    <row r="342" spans="1:16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  <c r="O342" t="str">
        <f>IF(OR(F342&lt;'EDA Analysis'!$B$22,F342&gt;'EDA Analysis'!$B$23),"OUTLIER","Normal")</f>
        <v>Normal</v>
      </c>
      <c r="P342" t="str">
        <f>IF(OR(N342&lt;'EDA Analysis'!$E$6,N342&gt;'EDA Analysis'!$E$7),"OUTLIER","Normal")</f>
        <v>Normal</v>
      </c>
    </row>
    <row r="343" spans="1:16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  <c r="O343" t="str">
        <f>IF(OR(F343&lt;'EDA Analysis'!$B$22,F343&gt;'EDA Analysis'!$B$23),"OUTLIER","Normal")</f>
        <v>Normal</v>
      </c>
      <c r="P343" t="str">
        <f>IF(OR(N343&lt;'EDA Analysis'!$E$6,N343&gt;'EDA Analysis'!$E$7),"OUTLIER","Normal")</f>
        <v>Normal</v>
      </c>
    </row>
    <row r="344" spans="1:16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  <c r="O344" t="str">
        <f>IF(OR(F344&lt;'EDA Analysis'!$B$22,F344&gt;'EDA Analysis'!$B$23),"OUTLIER","Normal")</f>
        <v>Normal</v>
      </c>
      <c r="P344" t="str">
        <f>IF(OR(N344&lt;'EDA Analysis'!$E$6,N344&gt;'EDA Analysis'!$E$7),"OUTLIER","Normal")</f>
        <v>Normal</v>
      </c>
    </row>
    <row r="345" spans="1:16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  <c r="O345" t="str">
        <f>IF(OR(F345&lt;'EDA Analysis'!$B$22,F345&gt;'EDA Analysis'!$B$23),"OUTLIER","Normal")</f>
        <v>Normal</v>
      </c>
      <c r="P345" t="str">
        <f>IF(OR(N345&lt;'EDA Analysis'!$E$6,N345&gt;'EDA Analysis'!$E$7),"OUTLIER","Normal")</f>
        <v>Normal</v>
      </c>
    </row>
    <row r="346" spans="1:16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  <c r="O346" t="str">
        <f>IF(OR(F346&lt;'EDA Analysis'!$B$22,F346&gt;'EDA Analysis'!$B$23),"OUTLIER","Normal")</f>
        <v>Normal</v>
      </c>
      <c r="P346" t="str">
        <f>IF(OR(N346&lt;'EDA Analysis'!$E$6,N346&gt;'EDA Analysis'!$E$7),"OUTLIER","Normal")</f>
        <v>Normal</v>
      </c>
    </row>
    <row r="347" spans="1:16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  <c r="O347" t="str">
        <f>IF(OR(F347&lt;'EDA Analysis'!$B$22,F347&gt;'EDA Analysis'!$B$23),"OUTLIER","Normal")</f>
        <v>Normal</v>
      </c>
      <c r="P347" t="str">
        <f>IF(OR(N347&lt;'EDA Analysis'!$E$6,N347&gt;'EDA Analysis'!$E$7),"OUTLIER","Normal")</f>
        <v>Normal</v>
      </c>
    </row>
    <row r="348" spans="1:16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  <c r="O348" t="str">
        <f>IF(OR(F348&lt;'EDA Analysis'!$B$22,F348&gt;'EDA Analysis'!$B$23),"OUTLIER","Normal")</f>
        <v>Normal</v>
      </c>
      <c r="P348" t="str">
        <f>IF(OR(N348&lt;'EDA Analysis'!$E$6,N348&gt;'EDA Analysis'!$E$7),"OUTLIER","Normal")</f>
        <v>Normal</v>
      </c>
    </row>
    <row r="349" spans="1:16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  <c r="O349" t="str">
        <f>IF(OR(F349&lt;'EDA Analysis'!$B$22,F349&gt;'EDA Analysis'!$B$23),"OUTLIER","Normal")</f>
        <v>Normal</v>
      </c>
      <c r="P349" t="str">
        <f>IF(OR(N349&lt;'EDA Analysis'!$E$6,N349&gt;'EDA Analysis'!$E$7),"OUTLIER","Normal")</f>
        <v>Normal</v>
      </c>
    </row>
    <row r="350" spans="1:16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  <c r="O350" t="str">
        <f>IF(OR(F350&lt;'EDA Analysis'!$B$22,F350&gt;'EDA Analysis'!$B$23),"OUTLIER","Normal")</f>
        <v>Normal</v>
      </c>
      <c r="P350" t="str">
        <f>IF(OR(N350&lt;'EDA Analysis'!$E$6,N350&gt;'EDA Analysis'!$E$7),"OUTLIER","Normal")</f>
        <v>Normal</v>
      </c>
    </row>
    <row r="351" spans="1:16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  <c r="O351" t="str">
        <f>IF(OR(F351&lt;'EDA Analysis'!$B$22,F351&gt;'EDA Analysis'!$B$23),"OUTLIER","Normal")</f>
        <v>Normal</v>
      </c>
      <c r="P351" t="str">
        <f>IF(OR(N351&lt;'EDA Analysis'!$E$6,N351&gt;'EDA Analysis'!$E$7),"OUTLIER","Normal")</f>
        <v>Normal</v>
      </c>
    </row>
    <row r="352" spans="1:16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  <c r="O352" t="str">
        <f>IF(OR(F352&lt;'EDA Analysis'!$B$22,F352&gt;'EDA Analysis'!$B$23),"OUTLIER","Normal")</f>
        <v>Normal</v>
      </c>
      <c r="P352" t="str">
        <f>IF(OR(N352&lt;'EDA Analysis'!$E$6,N352&gt;'EDA Analysis'!$E$7),"OUTLIER","Normal")</f>
        <v>Normal</v>
      </c>
    </row>
    <row r="353" spans="1:16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  <c r="O353" t="str">
        <f>IF(OR(F353&lt;'EDA Analysis'!$B$22,F353&gt;'EDA Analysis'!$B$23),"OUTLIER","Normal")</f>
        <v>Normal</v>
      </c>
      <c r="P353" t="str">
        <f>IF(OR(N353&lt;'EDA Analysis'!$E$6,N353&gt;'EDA Analysis'!$E$7),"OUTLIER","Normal")</f>
        <v>Normal</v>
      </c>
    </row>
    <row r="354" spans="1:16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  <c r="O354" t="str">
        <f>IF(OR(F354&lt;'EDA Analysis'!$B$22,F354&gt;'EDA Analysis'!$B$23),"OUTLIER","Normal")</f>
        <v>Normal</v>
      </c>
      <c r="P354" t="str">
        <f>IF(OR(N354&lt;'EDA Analysis'!$E$6,N354&gt;'EDA Analysis'!$E$7),"OUTLIER","Normal")</f>
        <v>Normal</v>
      </c>
    </row>
    <row r="355" spans="1:16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  <c r="O355" t="str">
        <f>IF(OR(F355&lt;'EDA Analysis'!$B$22,F355&gt;'EDA Analysis'!$B$23),"OUTLIER","Normal")</f>
        <v>Normal</v>
      </c>
      <c r="P355" t="str">
        <f>IF(OR(N355&lt;'EDA Analysis'!$E$6,N355&gt;'EDA Analysis'!$E$7),"OUTLIER","Normal")</f>
        <v>Normal</v>
      </c>
    </row>
    <row r="356" spans="1:16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  <c r="O356" t="str">
        <f>IF(OR(F356&lt;'EDA Analysis'!$B$22,F356&gt;'EDA Analysis'!$B$23),"OUTLIER","Normal")</f>
        <v>Normal</v>
      </c>
      <c r="P356" t="str">
        <f>IF(OR(N356&lt;'EDA Analysis'!$E$6,N356&gt;'EDA Analysis'!$E$7),"OUTLIER","Normal")</f>
        <v>Normal</v>
      </c>
    </row>
    <row r="357" spans="1:16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  <c r="O357" t="str">
        <f>IF(OR(F357&lt;'EDA Analysis'!$B$22,F357&gt;'EDA Analysis'!$B$23),"OUTLIER","Normal")</f>
        <v>Normal</v>
      </c>
      <c r="P357" t="str">
        <f>IF(OR(N357&lt;'EDA Analysis'!$E$6,N357&gt;'EDA Analysis'!$E$7),"OUTLIER","Normal")</f>
        <v>Normal</v>
      </c>
    </row>
    <row r="358" spans="1:16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  <c r="O358" t="str">
        <f>IF(OR(F358&lt;'EDA Analysis'!$B$22,F358&gt;'EDA Analysis'!$B$23),"OUTLIER","Normal")</f>
        <v>Normal</v>
      </c>
      <c r="P358" t="str">
        <f>IF(OR(N358&lt;'EDA Analysis'!$E$6,N358&gt;'EDA Analysis'!$E$7),"OUTLIER","Normal")</f>
        <v>Normal</v>
      </c>
    </row>
    <row r="359" spans="1:16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  <c r="O359" t="str">
        <f>IF(OR(F359&lt;'EDA Analysis'!$B$22,F359&gt;'EDA Analysis'!$B$23),"OUTLIER","Normal")</f>
        <v>Normal</v>
      </c>
      <c r="P359" t="str">
        <f>IF(OR(N359&lt;'EDA Analysis'!$E$6,N359&gt;'EDA Analysis'!$E$7),"OUTLIER","Normal")</f>
        <v>Normal</v>
      </c>
    </row>
    <row r="360" spans="1:16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  <c r="O360" t="str">
        <f>IF(OR(F360&lt;'EDA Analysis'!$B$22,F360&gt;'EDA Analysis'!$B$23),"OUTLIER","Normal")</f>
        <v>Normal</v>
      </c>
      <c r="P360" t="str">
        <f>IF(OR(N360&lt;'EDA Analysis'!$E$6,N360&gt;'EDA Analysis'!$E$7),"OUTLIER","Normal")</f>
        <v>Normal</v>
      </c>
    </row>
    <row r="361" spans="1:16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  <c r="O361" t="str">
        <f>IF(OR(F361&lt;'EDA Analysis'!$B$22,F361&gt;'EDA Analysis'!$B$23),"OUTLIER","Normal")</f>
        <v>Normal</v>
      </c>
      <c r="P361" t="str">
        <f>IF(OR(N361&lt;'EDA Analysis'!$E$6,N361&gt;'EDA Analysis'!$E$7),"OUTLIER","Normal")</f>
        <v>Normal</v>
      </c>
    </row>
    <row r="362" spans="1:16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  <c r="O362" t="str">
        <f>IF(OR(F362&lt;'EDA Analysis'!$B$22,F362&gt;'EDA Analysis'!$B$23),"OUTLIER","Normal")</f>
        <v>Normal</v>
      </c>
      <c r="P362" t="str">
        <f>IF(OR(N362&lt;'EDA Analysis'!$E$6,N362&gt;'EDA Analysis'!$E$7),"OUTLIER","Normal")</f>
        <v>Normal</v>
      </c>
    </row>
    <row r="363" spans="1:16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  <c r="O363" t="str">
        <f>IF(OR(F363&lt;'EDA Analysis'!$B$22,F363&gt;'EDA Analysis'!$B$23),"OUTLIER","Normal")</f>
        <v>Normal</v>
      </c>
      <c r="P363" t="str">
        <f>IF(OR(N363&lt;'EDA Analysis'!$E$6,N363&gt;'EDA Analysis'!$E$7),"OUTLIER","Normal")</f>
        <v>Normal</v>
      </c>
    </row>
    <row r="364" spans="1:16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  <c r="O364" t="str">
        <f>IF(OR(F364&lt;'EDA Analysis'!$B$22,F364&gt;'EDA Analysis'!$B$23),"OUTLIER","Normal")</f>
        <v>Normal</v>
      </c>
      <c r="P364" t="str">
        <f>IF(OR(N364&lt;'EDA Analysis'!$E$6,N364&gt;'EDA Analysis'!$E$7),"OUTLIER","Normal")</f>
        <v>Normal</v>
      </c>
    </row>
    <row r="365" spans="1:16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  <c r="O365" t="str">
        <f>IF(OR(F365&lt;'EDA Analysis'!$B$22,F365&gt;'EDA Analysis'!$B$23),"OUTLIER","Normal")</f>
        <v>Normal</v>
      </c>
      <c r="P365" t="str">
        <f>IF(OR(N365&lt;'EDA Analysis'!$E$6,N365&gt;'EDA Analysis'!$E$7),"OUTLIER","Normal")</f>
        <v>Normal</v>
      </c>
    </row>
    <row r="366" spans="1:16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  <c r="O366" t="str">
        <f>IF(OR(F366&lt;'EDA Analysis'!$B$22,F366&gt;'EDA Analysis'!$B$23),"OUTLIER","Normal")</f>
        <v>Normal</v>
      </c>
      <c r="P366" t="str">
        <f>IF(OR(N366&lt;'EDA Analysis'!$E$6,N366&gt;'EDA Analysis'!$E$7),"OUTLIER","Normal")</f>
        <v>Normal</v>
      </c>
    </row>
    <row r="367" spans="1:16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  <c r="O367" t="str">
        <f>IF(OR(F367&lt;'EDA Analysis'!$B$22,F367&gt;'EDA Analysis'!$B$23),"OUTLIER","Normal")</f>
        <v>Normal</v>
      </c>
      <c r="P367" t="str">
        <f>IF(OR(N367&lt;'EDA Analysis'!$E$6,N367&gt;'EDA Analysis'!$E$7),"OUTLIER","Normal")</f>
        <v>Normal</v>
      </c>
    </row>
    <row r="368" spans="1:16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  <c r="O368" t="str">
        <f>IF(OR(F368&lt;'EDA Analysis'!$B$22,F368&gt;'EDA Analysis'!$B$23),"OUTLIER","Normal")</f>
        <v>Normal</v>
      </c>
      <c r="P368" t="str">
        <f>IF(OR(N368&lt;'EDA Analysis'!$E$6,N368&gt;'EDA Analysis'!$E$7),"OUTLIER","Normal")</f>
        <v>Normal</v>
      </c>
    </row>
    <row r="369" spans="1:16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  <c r="O369" t="str">
        <f>IF(OR(F369&lt;'EDA Analysis'!$B$22,F369&gt;'EDA Analysis'!$B$23),"OUTLIER","Normal")</f>
        <v>Normal</v>
      </c>
      <c r="P369" t="str">
        <f>IF(OR(N369&lt;'EDA Analysis'!$E$6,N369&gt;'EDA Analysis'!$E$7),"OUTLIER","Normal")</f>
        <v>Normal</v>
      </c>
    </row>
    <row r="370" spans="1:16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  <c r="O370" t="str">
        <f>IF(OR(F370&lt;'EDA Analysis'!$B$22,F370&gt;'EDA Analysis'!$B$23),"OUTLIER","Normal")</f>
        <v>Normal</v>
      </c>
      <c r="P370" t="str">
        <f>IF(OR(N370&lt;'EDA Analysis'!$E$6,N370&gt;'EDA Analysis'!$E$7),"OUTLIER","Normal")</f>
        <v>Normal</v>
      </c>
    </row>
    <row r="371" spans="1:16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  <c r="O371" t="str">
        <f>IF(OR(F371&lt;'EDA Analysis'!$B$22,F371&gt;'EDA Analysis'!$B$23),"OUTLIER","Normal")</f>
        <v>Normal</v>
      </c>
      <c r="P371" t="str">
        <f>IF(OR(N371&lt;'EDA Analysis'!$E$6,N371&gt;'EDA Analysis'!$E$7),"OUTLIER","Normal")</f>
        <v>Normal</v>
      </c>
    </row>
    <row r="372" spans="1:16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  <c r="O372" t="str">
        <f>IF(OR(F372&lt;'EDA Analysis'!$B$22,F372&gt;'EDA Analysis'!$B$23),"OUTLIER","Normal")</f>
        <v>Normal</v>
      </c>
      <c r="P372" t="str">
        <f>IF(OR(N372&lt;'EDA Analysis'!$E$6,N372&gt;'EDA Analysis'!$E$7),"OUTLIER","Normal")</f>
        <v>Normal</v>
      </c>
    </row>
    <row r="373" spans="1:16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  <c r="O373" t="str">
        <f>IF(OR(F373&lt;'EDA Analysis'!$B$22,F373&gt;'EDA Analysis'!$B$23),"OUTLIER","Normal")</f>
        <v>Normal</v>
      </c>
      <c r="P373" t="str">
        <f>IF(OR(N373&lt;'EDA Analysis'!$E$6,N373&gt;'EDA Analysis'!$E$7),"OUTLIER","Normal")</f>
        <v>Normal</v>
      </c>
    </row>
    <row r="374" spans="1:16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  <c r="O374" t="str">
        <f>IF(OR(F374&lt;'EDA Analysis'!$B$22,F374&gt;'EDA Analysis'!$B$23),"OUTLIER","Normal")</f>
        <v>Normal</v>
      </c>
      <c r="P374" t="str">
        <f>IF(OR(N374&lt;'EDA Analysis'!$E$6,N374&gt;'EDA Analysis'!$E$7),"OUTLIER","Normal")</f>
        <v>Normal</v>
      </c>
    </row>
    <row r="375" spans="1:16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  <c r="O375" t="str">
        <f>IF(OR(F375&lt;'EDA Analysis'!$B$22,F375&gt;'EDA Analysis'!$B$23),"OUTLIER","Normal")</f>
        <v>Normal</v>
      </c>
      <c r="P375" t="str">
        <f>IF(OR(N375&lt;'EDA Analysis'!$E$6,N375&gt;'EDA Analysis'!$E$7),"OUTLIER","Normal")</f>
        <v>Normal</v>
      </c>
    </row>
    <row r="376" spans="1:16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  <c r="O376" t="str">
        <f>IF(OR(F376&lt;'EDA Analysis'!$B$22,F376&gt;'EDA Analysis'!$B$23),"OUTLIER","Normal")</f>
        <v>Normal</v>
      </c>
      <c r="P376" t="str">
        <f>IF(OR(N376&lt;'EDA Analysis'!$E$6,N376&gt;'EDA Analysis'!$E$7),"OUTLIER","Normal")</f>
        <v>Normal</v>
      </c>
    </row>
    <row r="377" spans="1:16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  <c r="O377" t="str">
        <f>IF(OR(F377&lt;'EDA Analysis'!$B$22,F377&gt;'EDA Analysis'!$B$23),"OUTLIER","Normal")</f>
        <v>Normal</v>
      </c>
      <c r="P377" t="str">
        <f>IF(OR(N377&lt;'EDA Analysis'!$E$6,N377&gt;'EDA Analysis'!$E$7),"OUTLIER","Normal")</f>
        <v>Normal</v>
      </c>
    </row>
    <row r="378" spans="1:16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  <c r="O378" t="str">
        <f>IF(OR(F378&lt;'EDA Analysis'!$B$22,F378&gt;'EDA Analysis'!$B$23),"OUTLIER","Normal")</f>
        <v>Normal</v>
      </c>
      <c r="P378" t="str">
        <f>IF(OR(N378&lt;'EDA Analysis'!$E$6,N378&gt;'EDA Analysis'!$E$7),"OUTLIER","Normal")</f>
        <v>Normal</v>
      </c>
    </row>
    <row r="379" spans="1:16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  <c r="O379" t="str">
        <f>IF(OR(F379&lt;'EDA Analysis'!$B$22,F379&gt;'EDA Analysis'!$B$23),"OUTLIER","Normal")</f>
        <v>Normal</v>
      </c>
      <c r="P379" t="str">
        <f>IF(OR(N379&lt;'EDA Analysis'!$E$6,N379&gt;'EDA Analysis'!$E$7),"OUTLIER","Normal")</f>
        <v>Normal</v>
      </c>
    </row>
    <row r="380" spans="1:16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  <c r="O380" t="str">
        <f>IF(OR(F380&lt;'EDA Analysis'!$B$22,F380&gt;'EDA Analysis'!$B$23),"OUTLIER","Normal")</f>
        <v>Normal</v>
      </c>
      <c r="P380" t="str">
        <f>IF(OR(N380&lt;'EDA Analysis'!$E$6,N380&gt;'EDA Analysis'!$E$7),"OUTLIER","Normal")</f>
        <v>Normal</v>
      </c>
    </row>
    <row r="381" spans="1:16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  <c r="O381" t="str">
        <f>IF(OR(F381&lt;'EDA Analysis'!$B$22,F381&gt;'EDA Analysis'!$B$23),"OUTLIER","Normal")</f>
        <v>Normal</v>
      </c>
      <c r="P381" t="str">
        <f>IF(OR(N381&lt;'EDA Analysis'!$E$6,N381&gt;'EDA Analysis'!$E$7),"OUTLIER","Normal")</f>
        <v>Normal</v>
      </c>
    </row>
    <row r="382" spans="1:16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  <c r="O382" t="str">
        <f>IF(OR(F382&lt;'EDA Analysis'!$B$22,F382&gt;'EDA Analysis'!$B$23),"OUTLIER","Normal")</f>
        <v>Normal</v>
      </c>
      <c r="P382" t="str">
        <f>IF(OR(N382&lt;'EDA Analysis'!$E$6,N382&gt;'EDA Analysis'!$E$7),"OUTLIER","Normal")</f>
        <v>Normal</v>
      </c>
    </row>
    <row r="383" spans="1:16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  <c r="O383" t="str">
        <f>IF(OR(F383&lt;'EDA Analysis'!$B$22,F383&gt;'EDA Analysis'!$B$23),"OUTLIER","Normal")</f>
        <v>Normal</v>
      </c>
      <c r="P383" t="str">
        <f>IF(OR(N383&lt;'EDA Analysis'!$E$6,N383&gt;'EDA Analysis'!$E$7),"OUTLIER","Normal")</f>
        <v>Normal</v>
      </c>
    </row>
    <row r="384" spans="1:16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  <c r="O384" t="str">
        <f>IF(OR(F384&lt;'EDA Analysis'!$B$22,F384&gt;'EDA Analysis'!$B$23),"OUTLIER","Normal")</f>
        <v>Normal</v>
      </c>
      <c r="P384" t="str">
        <f>IF(OR(N384&lt;'EDA Analysis'!$E$6,N384&gt;'EDA Analysis'!$E$7),"OUTLIER","Normal")</f>
        <v>Normal</v>
      </c>
    </row>
    <row r="385" spans="1:16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  <c r="O385" t="str">
        <f>IF(OR(F385&lt;'EDA Analysis'!$B$22,F385&gt;'EDA Analysis'!$B$23),"OUTLIER","Normal")</f>
        <v>Normal</v>
      </c>
      <c r="P385" t="str">
        <f>IF(OR(N385&lt;'EDA Analysis'!$E$6,N385&gt;'EDA Analysis'!$E$7),"OUTLIER","Normal")</f>
        <v>Normal</v>
      </c>
    </row>
    <row r="386" spans="1:16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  <c r="O386" t="str">
        <f>IF(OR(F386&lt;'EDA Analysis'!$B$22,F386&gt;'EDA Analysis'!$B$23),"OUTLIER","Normal")</f>
        <v>Normal</v>
      </c>
      <c r="P386" t="str">
        <f>IF(OR(N386&lt;'EDA Analysis'!$E$6,N386&gt;'EDA Analysis'!$E$7),"OUTLIER","Normal")</f>
        <v>Normal</v>
      </c>
    </row>
    <row r="387" spans="1:16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  <c r="O387" t="str">
        <f>IF(OR(F387&lt;'EDA Analysis'!$B$22,F387&gt;'EDA Analysis'!$B$23),"OUTLIER","Normal")</f>
        <v>Normal</v>
      </c>
      <c r="P387" t="str">
        <f>IF(OR(N387&lt;'EDA Analysis'!$E$6,N387&gt;'EDA Analysis'!$E$7),"OUTLIER","Normal")</f>
        <v>Normal</v>
      </c>
    </row>
    <row r="388" spans="1:16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  <c r="O388" t="str">
        <f>IF(OR(F388&lt;'EDA Analysis'!$B$22,F388&gt;'EDA Analysis'!$B$23),"OUTLIER","Normal")</f>
        <v>Normal</v>
      </c>
      <c r="P388" t="str">
        <f>IF(OR(N388&lt;'EDA Analysis'!$E$6,N388&gt;'EDA Analysis'!$E$7),"OUTLIER","Normal")</f>
        <v>Normal</v>
      </c>
    </row>
    <row r="389" spans="1:16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  <c r="O389" t="str">
        <f>IF(OR(F389&lt;'EDA Analysis'!$B$22,F389&gt;'EDA Analysis'!$B$23),"OUTLIER","Normal")</f>
        <v>Normal</v>
      </c>
      <c r="P389" t="str">
        <f>IF(OR(N389&lt;'EDA Analysis'!$E$6,N389&gt;'EDA Analysis'!$E$7),"OUTLIER","Normal")</f>
        <v>Normal</v>
      </c>
    </row>
    <row r="390" spans="1:16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  <c r="O390" t="str">
        <f>IF(OR(F390&lt;'EDA Analysis'!$B$22,F390&gt;'EDA Analysis'!$B$23),"OUTLIER","Normal")</f>
        <v>Normal</v>
      </c>
      <c r="P390" t="str">
        <f>IF(OR(N390&lt;'EDA Analysis'!$E$6,N390&gt;'EDA Analysis'!$E$7),"OUTLIER","Normal")</f>
        <v>Normal</v>
      </c>
    </row>
    <row r="391" spans="1:16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  <c r="O391" t="str">
        <f>IF(OR(F391&lt;'EDA Analysis'!$B$22,F391&gt;'EDA Analysis'!$B$23),"OUTLIER","Normal")</f>
        <v>Normal</v>
      </c>
      <c r="P391" t="str">
        <f>IF(OR(N391&lt;'EDA Analysis'!$E$6,N391&gt;'EDA Analysis'!$E$7),"OUTLIER","Normal")</f>
        <v>Normal</v>
      </c>
    </row>
    <row r="392" spans="1:16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  <c r="O392" t="str">
        <f>IF(OR(F392&lt;'EDA Analysis'!$B$22,F392&gt;'EDA Analysis'!$B$23),"OUTLIER","Normal")</f>
        <v>Normal</v>
      </c>
      <c r="P392" t="str">
        <f>IF(OR(N392&lt;'EDA Analysis'!$E$6,N392&gt;'EDA Analysis'!$E$7),"OUTLIER","Normal")</f>
        <v>Normal</v>
      </c>
    </row>
    <row r="393" spans="1:16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  <c r="O393" t="str">
        <f>IF(OR(F393&lt;'EDA Analysis'!$B$22,F393&gt;'EDA Analysis'!$B$23),"OUTLIER","Normal")</f>
        <v>Normal</v>
      </c>
      <c r="P393" t="str">
        <f>IF(OR(N393&lt;'EDA Analysis'!$E$6,N393&gt;'EDA Analysis'!$E$7),"OUTLIER","Normal")</f>
        <v>Normal</v>
      </c>
    </row>
    <row r="394" spans="1:16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  <c r="O394" t="str">
        <f>IF(OR(F394&lt;'EDA Analysis'!$B$22,F394&gt;'EDA Analysis'!$B$23),"OUTLIER","Normal")</f>
        <v>Normal</v>
      </c>
      <c r="P394" t="str">
        <f>IF(OR(N394&lt;'EDA Analysis'!$E$6,N394&gt;'EDA Analysis'!$E$7),"OUTLIER","Normal")</f>
        <v>Normal</v>
      </c>
    </row>
    <row r="395" spans="1:16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  <c r="O395" t="str">
        <f>IF(OR(F395&lt;'EDA Analysis'!$B$22,F395&gt;'EDA Analysis'!$B$23),"OUTLIER","Normal")</f>
        <v>Normal</v>
      </c>
      <c r="P395" t="str">
        <f>IF(OR(N395&lt;'EDA Analysis'!$E$6,N395&gt;'EDA Analysis'!$E$7),"OUTLIER","Normal")</f>
        <v>Normal</v>
      </c>
    </row>
    <row r="396" spans="1:16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  <c r="O396" t="str">
        <f>IF(OR(F396&lt;'EDA Analysis'!$B$22,F396&gt;'EDA Analysis'!$B$23),"OUTLIER","Normal")</f>
        <v>Normal</v>
      </c>
      <c r="P396" t="str">
        <f>IF(OR(N396&lt;'EDA Analysis'!$E$6,N396&gt;'EDA Analysis'!$E$7),"OUTLIER","Normal")</f>
        <v>Normal</v>
      </c>
    </row>
    <row r="397" spans="1:16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  <c r="O397" t="str">
        <f>IF(OR(F397&lt;'EDA Analysis'!$B$22,F397&gt;'EDA Analysis'!$B$23),"OUTLIER","Normal")</f>
        <v>Normal</v>
      </c>
      <c r="P397" t="str">
        <f>IF(OR(N397&lt;'EDA Analysis'!$E$6,N397&gt;'EDA Analysis'!$E$7),"OUTLIER","Normal")</f>
        <v>Normal</v>
      </c>
    </row>
    <row r="398" spans="1:16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  <c r="O398" t="str">
        <f>IF(OR(F398&lt;'EDA Analysis'!$B$22,F398&gt;'EDA Analysis'!$B$23),"OUTLIER","Normal")</f>
        <v>Normal</v>
      </c>
      <c r="P398" t="str">
        <f>IF(OR(N398&lt;'EDA Analysis'!$E$6,N398&gt;'EDA Analysis'!$E$7),"OUTLIER","Normal")</f>
        <v>Normal</v>
      </c>
    </row>
    <row r="399" spans="1:16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  <c r="O399" t="str">
        <f>IF(OR(F399&lt;'EDA Analysis'!$B$22,F399&gt;'EDA Analysis'!$B$23),"OUTLIER","Normal")</f>
        <v>Normal</v>
      </c>
      <c r="P399" t="str">
        <f>IF(OR(N399&lt;'EDA Analysis'!$E$6,N399&gt;'EDA Analysis'!$E$7),"OUTLIER","Normal")</f>
        <v>Normal</v>
      </c>
    </row>
    <row r="400" spans="1:16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  <c r="O400" t="str">
        <f>IF(OR(F400&lt;'EDA Analysis'!$B$22,F400&gt;'EDA Analysis'!$B$23),"OUTLIER","Normal")</f>
        <v>Normal</v>
      </c>
      <c r="P400" t="str">
        <f>IF(OR(N400&lt;'EDA Analysis'!$E$6,N400&gt;'EDA Analysis'!$E$7),"OUTLIER","Normal")</f>
        <v>Normal</v>
      </c>
    </row>
    <row r="401" spans="1:16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  <c r="O401" t="str">
        <f>IF(OR(F401&lt;'EDA Analysis'!$B$22,F401&gt;'EDA Analysis'!$B$23),"OUTLIER","Normal")</f>
        <v>Normal</v>
      </c>
      <c r="P401" t="str">
        <f>IF(OR(N401&lt;'EDA Analysis'!$E$6,N401&gt;'EDA Analysis'!$E$7),"OUTLIER","Normal")</f>
        <v>Normal</v>
      </c>
    </row>
    <row r="402" spans="1:16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  <c r="O402" t="str">
        <f>IF(OR(F402&lt;'EDA Analysis'!$B$22,F402&gt;'EDA Analysis'!$B$23),"OUTLIER","Normal")</f>
        <v>Normal</v>
      </c>
      <c r="P402" t="str">
        <f>IF(OR(N402&lt;'EDA Analysis'!$E$6,N402&gt;'EDA Analysis'!$E$7),"OUTLIER","Normal")</f>
        <v>Normal</v>
      </c>
    </row>
    <row r="403" spans="1:16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  <c r="O403" t="str">
        <f>IF(OR(F403&lt;'EDA Analysis'!$B$22,F403&gt;'EDA Analysis'!$B$23),"OUTLIER","Normal")</f>
        <v>Normal</v>
      </c>
      <c r="P403" t="str">
        <f>IF(OR(N403&lt;'EDA Analysis'!$E$6,N403&gt;'EDA Analysis'!$E$7),"OUTLIER","Normal")</f>
        <v>Normal</v>
      </c>
    </row>
    <row r="404" spans="1:16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  <c r="O404" t="str">
        <f>IF(OR(F404&lt;'EDA Analysis'!$B$22,F404&gt;'EDA Analysis'!$B$23),"OUTLIER","Normal")</f>
        <v>Normal</v>
      </c>
      <c r="P404" t="str">
        <f>IF(OR(N404&lt;'EDA Analysis'!$E$6,N404&gt;'EDA Analysis'!$E$7),"OUTLIER","Normal")</f>
        <v>Normal</v>
      </c>
    </row>
    <row r="405" spans="1:16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  <c r="O405" t="str">
        <f>IF(OR(F405&lt;'EDA Analysis'!$B$22,F405&gt;'EDA Analysis'!$B$23),"OUTLIER","Normal")</f>
        <v>Normal</v>
      </c>
      <c r="P405" t="str">
        <f>IF(OR(N405&lt;'EDA Analysis'!$E$6,N405&gt;'EDA Analysis'!$E$7),"OUTLIER","Normal")</f>
        <v>Normal</v>
      </c>
    </row>
    <row r="406" spans="1:16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  <c r="O406" t="str">
        <f>IF(OR(F406&lt;'EDA Analysis'!$B$22,F406&gt;'EDA Analysis'!$B$23),"OUTLIER","Normal")</f>
        <v>Normal</v>
      </c>
      <c r="P406" t="str">
        <f>IF(OR(N406&lt;'EDA Analysis'!$E$6,N406&gt;'EDA Analysis'!$E$7),"OUTLIER","Normal")</f>
        <v>Normal</v>
      </c>
    </row>
    <row r="407" spans="1:16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  <c r="O407" t="str">
        <f>IF(OR(F407&lt;'EDA Analysis'!$B$22,F407&gt;'EDA Analysis'!$B$23),"OUTLIER","Normal")</f>
        <v>Normal</v>
      </c>
      <c r="P407" t="str">
        <f>IF(OR(N407&lt;'EDA Analysis'!$E$6,N407&gt;'EDA Analysis'!$E$7),"OUTLIER","Normal")</f>
        <v>Normal</v>
      </c>
    </row>
    <row r="408" spans="1:16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  <c r="O408" t="str">
        <f>IF(OR(F408&lt;'EDA Analysis'!$B$22,F408&gt;'EDA Analysis'!$B$23),"OUTLIER","Normal")</f>
        <v>Normal</v>
      </c>
      <c r="P408" t="str">
        <f>IF(OR(N408&lt;'EDA Analysis'!$E$6,N408&gt;'EDA Analysis'!$E$7),"OUTLIER","Normal")</f>
        <v>Normal</v>
      </c>
    </row>
    <row r="409" spans="1:16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  <c r="O409" t="str">
        <f>IF(OR(F409&lt;'EDA Analysis'!$B$22,F409&gt;'EDA Analysis'!$B$23),"OUTLIER","Normal")</f>
        <v>Normal</v>
      </c>
      <c r="P409" t="str">
        <f>IF(OR(N409&lt;'EDA Analysis'!$E$6,N409&gt;'EDA Analysis'!$E$7),"OUTLIER","Normal")</f>
        <v>Normal</v>
      </c>
    </row>
    <row r="410" spans="1:16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  <c r="O410" t="str">
        <f>IF(OR(F410&lt;'EDA Analysis'!$B$22,F410&gt;'EDA Analysis'!$B$23),"OUTLIER","Normal")</f>
        <v>Normal</v>
      </c>
      <c r="P410" t="str">
        <f>IF(OR(N410&lt;'EDA Analysis'!$E$6,N410&gt;'EDA Analysis'!$E$7),"OUTLIER","Normal")</f>
        <v>Normal</v>
      </c>
    </row>
    <row r="411" spans="1:16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  <c r="O411" t="str">
        <f>IF(OR(F411&lt;'EDA Analysis'!$B$22,F411&gt;'EDA Analysis'!$B$23),"OUTLIER","Normal")</f>
        <v>Normal</v>
      </c>
      <c r="P411" t="str">
        <f>IF(OR(N411&lt;'EDA Analysis'!$E$6,N411&gt;'EDA Analysis'!$E$7),"OUTLIER","Normal")</f>
        <v>Normal</v>
      </c>
    </row>
    <row r="412" spans="1:16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  <c r="O412" t="str">
        <f>IF(OR(F412&lt;'EDA Analysis'!$B$22,F412&gt;'EDA Analysis'!$B$23),"OUTLIER","Normal")</f>
        <v>Normal</v>
      </c>
      <c r="P412" t="str">
        <f>IF(OR(N412&lt;'EDA Analysis'!$E$6,N412&gt;'EDA Analysis'!$E$7),"OUTLIER","Normal")</f>
        <v>Normal</v>
      </c>
    </row>
    <row r="413" spans="1:16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  <c r="O413" t="str">
        <f>IF(OR(F413&lt;'EDA Analysis'!$B$22,F413&gt;'EDA Analysis'!$B$23),"OUTLIER","Normal")</f>
        <v>Normal</v>
      </c>
      <c r="P413" t="str">
        <f>IF(OR(N413&lt;'EDA Analysis'!$E$6,N413&gt;'EDA Analysis'!$E$7),"OUTLIER","Normal")</f>
        <v>Normal</v>
      </c>
    </row>
    <row r="414" spans="1:16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  <c r="O414" t="str">
        <f>IF(OR(F414&lt;'EDA Analysis'!$B$22,F414&gt;'EDA Analysis'!$B$23),"OUTLIER","Normal")</f>
        <v>Normal</v>
      </c>
      <c r="P414" t="str">
        <f>IF(OR(N414&lt;'EDA Analysis'!$E$6,N414&gt;'EDA Analysis'!$E$7),"OUTLIER","Normal")</f>
        <v>Normal</v>
      </c>
    </row>
    <row r="415" spans="1:16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  <c r="O415" t="str">
        <f>IF(OR(F415&lt;'EDA Analysis'!$B$22,F415&gt;'EDA Analysis'!$B$23),"OUTLIER","Normal")</f>
        <v>Normal</v>
      </c>
      <c r="P415" t="str">
        <f>IF(OR(N415&lt;'EDA Analysis'!$E$6,N415&gt;'EDA Analysis'!$E$7),"OUTLIER","Normal")</f>
        <v>Normal</v>
      </c>
    </row>
    <row r="416" spans="1:16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  <c r="O416" t="str">
        <f>IF(OR(F416&lt;'EDA Analysis'!$B$22,F416&gt;'EDA Analysis'!$B$23),"OUTLIER","Normal")</f>
        <v>Normal</v>
      </c>
      <c r="P416" t="str">
        <f>IF(OR(N416&lt;'EDA Analysis'!$E$6,N416&gt;'EDA Analysis'!$E$7),"OUTLIER","Normal")</f>
        <v>Normal</v>
      </c>
    </row>
    <row r="417" spans="1:16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  <c r="O417" t="str">
        <f>IF(OR(F417&lt;'EDA Analysis'!$B$22,F417&gt;'EDA Analysis'!$B$23),"OUTLIER","Normal")</f>
        <v>Normal</v>
      </c>
      <c r="P417" t="str">
        <f>IF(OR(N417&lt;'EDA Analysis'!$E$6,N417&gt;'EDA Analysis'!$E$7),"OUTLIER","Normal")</f>
        <v>Normal</v>
      </c>
    </row>
    <row r="418" spans="1:16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  <c r="O418" t="str">
        <f>IF(OR(F418&lt;'EDA Analysis'!$B$22,F418&gt;'EDA Analysis'!$B$23),"OUTLIER","Normal")</f>
        <v>Normal</v>
      </c>
      <c r="P418" t="str">
        <f>IF(OR(N418&lt;'EDA Analysis'!$E$6,N418&gt;'EDA Analysis'!$E$7),"OUTLIER","Normal")</f>
        <v>Normal</v>
      </c>
    </row>
    <row r="419" spans="1:16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  <c r="O419" t="str">
        <f>IF(OR(F419&lt;'EDA Analysis'!$B$22,F419&gt;'EDA Analysis'!$B$23),"OUTLIER","Normal")</f>
        <v>Normal</v>
      </c>
      <c r="P419" t="str">
        <f>IF(OR(N419&lt;'EDA Analysis'!$E$6,N419&gt;'EDA Analysis'!$E$7),"OUTLIER","Normal")</f>
        <v>Normal</v>
      </c>
    </row>
    <row r="420" spans="1:16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  <c r="O420" t="str">
        <f>IF(OR(F420&lt;'EDA Analysis'!$B$22,F420&gt;'EDA Analysis'!$B$23),"OUTLIER","Normal")</f>
        <v>Normal</v>
      </c>
      <c r="P420" t="str">
        <f>IF(OR(N420&lt;'EDA Analysis'!$E$6,N420&gt;'EDA Analysis'!$E$7),"OUTLIER","Normal")</f>
        <v>Normal</v>
      </c>
    </row>
    <row r="421" spans="1:16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  <c r="O421" t="str">
        <f>IF(OR(F421&lt;'EDA Analysis'!$B$22,F421&gt;'EDA Analysis'!$B$23),"OUTLIER","Normal")</f>
        <v>Normal</v>
      </c>
      <c r="P421" t="str">
        <f>IF(OR(N421&lt;'EDA Analysis'!$E$6,N421&gt;'EDA Analysis'!$E$7),"OUTLIER","Normal")</f>
        <v>Normal</v>
      </c>
    </row>
    <row r="422" spans="1:16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  <c r="O422" t="str">
        <f>IF(OR(F422&lt;'EDA Analysis'!$B$22,F422&gt;'EDA Analysis'!$B$23),"OUTLIER","Normal")</f>
        <v>Normal</v>
      </c>
      <c r="P422" t="str">
        <f>IF(OR(N422&lt;'EDA Analysis'!$E$6,N422&gt;'EDA Analysis'!$E$7),"OUTLIER","Normal")</f>
        <v>Normal</v>
      </c>
    </row>
    <row r="423" spans="1:16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  <c r="O423" t="str">
        <f>IF(OR(F423&lt;'EDA Analysis'!$B$22,F423&gt;'EDA Analysis'!$B$23),"OUTLIER","Normal")</f>
        <v>Normal</v>
      </c>
      <c r="P423" t="str">
        <f>IF(OR(N423&lt;'EDA Analysis'!$E$6,N423&gt;'EDA Analysis'!$E$7),"OUTLIER","Normal")</f>
        <v>Normal</v>
      </c>
    </row>
    <row r="424" spans="1:16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  <c r="O424" t="str">
        <f>IF(OR(F424&lt;'EDA Analysis'!$B$22,F424&gt;'EDA Analysis'!$B$23),"OUTLIER","Normal")</f>
        <v>Normal</v>
      </c>
      <c r="P424" t="str">
        <f>IF(OR(N424&lt;'EDA Analysis'!$E$6,N424&gt;'EDA Analysis'!$E$7),"OUTLIER","Normal")</f>
        <v>Normal</v>
      </c>
    </row>
    <row r="425" spans="1:16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  <c r="O425" t="str">
        <f>IF(OR(F425&lt;'EDA Analysis'!$B$22,F425&gt;'EDA Analysis'!$B$23),"OUTLIER","Normal")</f>
        <v>Normal</v>
      </c>
      <c r="P425" t="str">
        <f>IF(OR(N425&lt;'EDA Analysis'!$E$6,N425&gt;'EDA Analysis'!$E$7),"OUTLIER","Normal")</f>
        <v>Normal</v>
      </c>
    </row>
    <row r="426" spans="1:16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  <c r="O426" t="str">
        <f>IF(OR(F426&lt;'EDA Analysis'!$B$22,F426&gt;'EDA Analysis'!$B$23),"OUTLIER","Normal")</f>
        <v>Normal</v>
      </c>
      <c r="P426" t="str">
        <f>IF(OR(N426&lt;'EDA Analysis'!$E$6,N426&gt;'EDA Analysis'!$E$7),"OUTLIER","Normal")</f>
        <v>Normal</v>
      </c>
    </row>
    <row r="427" spans="1:16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  <c r="O427" t="str">
        <f>IF(OR(F427&lt;'EDA Analysis'!$B$22,F427&gt;'EDA Analysis'!$B$23),"OUTLIER","Normal")</f>
        <v>Normal</v>
      </c>
      <c r="P427" t="str">
        <f>IF(OR(N427&lt;'EDA Analysis'!$E$6,N427&gt;'EDA Analysis'!$E$7),"OUTLIER","Normal")</f>
        <v>Normal</v>
      </c>
    </row>
    <row r="428" spans="1:16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  <c r="O428" t="str">
        <f>IF(OR(F428&lt;'EDA Analysis'!$B$22,F428&gt;'EDA Analysis'!$B$23),"OUTLIER","Normal")</f>
        <v>Normal</v>
      </c>
      <c r="P428" t="str">
        <f>IF(OR(N428&lt;'EDA Analysis'!$E$6,N428&gt;'EDA Analysis'!$E$7),"OUTLIER","Normal")</f>
        <v>Normal</v>
      </c>
    </row>
    <row r="429" spans="1:16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  <c r="O429" t="str">
        <f>IF(OR(F429&lt;'EDA Analysis'!$B$22,F429&gt;'EDA Analysis'!$B$23),"OUTLIER","Normal")</f>
        <v>Normal</v>
      </c>
      <c r="P429" t="str">
        <f>IF(OR(N429&lt;'EDA Analysis'!$E$6,N429&gt;'EDA Analysis'!$E$7),"OUTLIER","Normal")</f>
        <v>Normal</v>
      </c>
    </row>
    <row r="430" spans="1:16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  <c r="O430" t="str">
        <f>IF(OR(F430&lt;'EDA Analysis'!$B$22,F430&gt;'EDA Analysis'!$B$23),"OUTLIER","Normal")</f>
        <v>Normal</v>
      </c>
      <c r="P430" t="str">
        <f>IF(OR(N430&lt;'EDA Analysis'!$E$6,N430&gt;'EDA Analysis'!$E$7),"OUTLIER","Normal")</f>
        <v>Normal</v>
      </c>
    </row>
    <row r="431" spans="1:16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  <c r="O431" t="str">
        <f>IF(OR(F431&lt;'EDA Analysis'!$B$22,F431&gt;'EDA Analysis'!$B$23),"OUTLIER","Normal")</f>
        <v>Normal</v>
      </c>
      <c r="P431" t="str">
        <f>IF(OR(N431&lt;'EDA Analysis'!$E$6,N431&gt;'EDA Analysis'!$E$7),"OUTLIER","Normal")</f>
        <v>Normal</v>
      </c>
    </row>
    <row r="432" spans="1:16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  <c r="O432" t="str">
        <f>IF(OR(F432&lt;'EDA Analysis'!$B$22,F432&gt;'EDA Analysis'!$B$23),"OUTLIER","Normal")</f>
        <v>Normal</v>
      </c>
      <c r="P432" t="str">
        <f>IF(OR(N432&lt;'EDA Analysis'!$E$6,N432&gt;'EDA Analysis'!$E$7),"OUTLIER","Normal")</f>
        <v>Normal</v>
      </c>
    </row>
    <row r="433" spans="1:16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  <c r="O433" t="str">
        <f>IF(OR(F433&lt;'EDA Analysis'!$B$22,F433&gt;'EDA Analysis'!$B$23),"OUTLIER","Normal")</f>
        <v>Normal</v>
      </c>
      <c r="P433" t="str">
        <f>IF(OR(N433&lt;'EDA Analysis'!$E$6,N433&gt;'EDA Analysis'!$E$7),"OUTLIER","Normal")</f>
        <v>Normal</v>
      </c>
    </row>
    <row r="434" spans="1:16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  <c r="O434" t="str">
        <f>IF(OR(F434&lt;'EDA Analysis'!$B$22,F434&gt;'EDA Analysis'!$B$23),"OUTLIER","Normal")</f>
        <v>Normal</v>
      </c>
      <c r="P434" t="str">
        <f>IF(OR(N434&lt;'EDA Analysis'!$E$6,N434&gt;'EDA Analysis'!$E$7),"OUTLIER","Normal")</f>
        <v>Normal</v>
      </c>
    </row>
    <row r="435" spans="1:16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  <c r="O435" t="str">
        <f>IF(OR(F435&lt;'EDA Analysis'!$B$22,F435&gt;'EDA Analysis'!$B$23),"OUTLIER","Normal")</f>
        <v>Normal</v>
      </c>
      <c r="P435" t="str">
        <f>IF(OR(N435&lt;'EDA Analysis'!$E$6,N435&gt;'EDA Analysis'!$E$7),"OUTLIER","Normal")</f>
        <v>Normal</v>
      </c>
    </row>
    <row r="436" spans="1:16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  <c r="O436" t="str">
        <f>IF(OR(F436&lt;'EDA Analysis'!$B$22,F436&gt;'EDA Analysis'!$B$23),"OUTLIER","Normal")</f>
        <v>Normal</v>
      </c>
      <c r="P436" t="str">
        <f>IF(OR(N436&lt;'EDA Analysis'!$E$6,N436&gt;'EDA Analysis'!$E$7),"OUTLIER","Normal")</f>
        <v>Normal</v>
      </c>
    </row>
    <row r="437" spans="1:16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  <c r="O437" t="str">
        <f>IF(OR(F437&lt;'EDA Analysis'!$B$22,F437&gt;'EDA Analysis'!$B$23),"OUTLIER","Normal")</f>
        <v>Normal</v>
      </c>
      <c r="P437" t="str">
        <f>IF(OR(N437&lt;'EDA Analysis'!$E$6,N437&gt;'EDA Analysis'!$E$7),"OUTLIER","Normal")</f>
        <v>Normal</v>
      </c>
    </row>
    <row r="438" spans="1:16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  <c r="O438" t="str">
        <f>IF(OR(F438&lt;'EDA Analysis'!$B$22,F438&gt;'EDA Analysis'!$B$23),"OUTLIER","Normal")</f>
        <v>Normal</v>
      </c>
      <c r="P438" t="str">
        <f>IF(OR(N438&lt;'EDA Analysis'!$E$6,N438&gt;'EDA Analysis'!$E$7),"OUTLIER","Normal")</f>
        <v>Normal</v>
      </c>
    </row>
    <row r="439" spans="1:16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  <c r="O439" t="str">
        <f>IF(OR(F439&lt;'EDA Analysis'!$B$22,F439&gt;'EDA Analysis'!$B$23),"OUTLIER","Normal")</f>
        <v>Normal</v>
      </c>
      <c r="P439" t="str">
        <f>IF(OR(N439&lt;'EDA Analysis'!$E$6,N439&gt;'EDA Analysis'!$E$7),"OUTLIER","Normal")</f>
        <v>Normal</v>
      </c>
    </row>
    <row r="440" spans="1:16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  <c r="O440" t="str">
        <f>IF(OR(F440&lt;'EDA Analysis'!$B$22,F440&gt;'EDA Analysis'!$B$23),"OUTLIER","Normal")</f>
        <v>Normal</v>
      </c>
      <c r="P440" t="str">
        <f>IF(OR(N440&lt;'EDA Analysis'!$E$6,N440&gt;'EDA Analysis'!$E$7),"OUTLIER","Normal")</f>
        <v>Normal</v>
      </c>
    </row>
    <row r="441" spans="1:16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  <c r="O441" t="str">
        <f>IF(OR(F441&lt;'EDA Analysis'!$B$22,F441&gt;'EDA Analysis'!$B$23),"OUTLIER","Normal")</f>
        <v>Normal</v>
      </c>
      <c r="P441" t="str">
        <f>IF(OR(N441&lt;'EDA Analysis'!$E$6,N441&gt;'EDA Analysis'!$E$7),"OUTLIER","Normal")</f>
        <v>Normal</v>
      </c>
    </row>
    <row r="442" spans="1:16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  <c r="O442" t="str">
        <f>IF(OR(F442&lt;'EDA Analysis'!$B$22,F442&gt;'EDA Analysis'!$B$23),"OUTLIER","Normal")</f>
        <v>Normal</v>
      </c>
      <c r="P442" t="str">
        <f>IF(OR(N442&lt;'EDA Analysis'!$E$6,N442&gt;'EDA Analysis'!$E$7),"OUTLIER","Normal")</f>
        <v>Normal</v>
      </c>
    </row>
    <row r="443" spans="1:16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  <c r="O443" t="str">
        <f>IF(OR(F443&lt;'EDA Analysis'!$B$22,F443&gt;'EDA Analysis'!$B$23),"OUTLIER","Normal")</f>
        <v>Normal</v>
      </c>
      <c r="P443" t="str">
        <f>IF(OR(N443&lt;'EDA Analysis'!$E$6,N443&gt;'EDA Analysis'!$E$7),"OUTLIER","Normal")</f>
        <v>Normal</v>
      </c>
    </row>
    <row r="444" spans="1:16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  <c r="O444" t="str">
        <f>IF(OR(F444&lt;'EDA Analysis'!$B$22,F444&gt;'EDA Analysis'!$B$23),"OUTLIER","Normal")</f>
        <v>Normal</v>
      </c>
      <c r="P444" t="str">
        <f>IF(OR(N444&lt;'EDA Analysis'!$E$6,N444&gt;'EDA Analysis'!$E$7),"OUTLIER","Normal")</f>
        <v>Normal</v>
      </c>
    </row>
    <row r="445" spans="1:16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  <c r="O445" t="str">
        <f>IF(OR(F445&lt;'EDA Analysis'!$B$22,F445&gt;'EDA Analysis'!$B$23),"OUTLIER","Normal")</f>
        <v>Normal</v>
      </c>
      <c r="P445" t="str">
        <f>IF(OR(N445&lt;'EDA Analysis'!$E$6,N445&gt;'EDA Analysis'!$E$7),"OUTLIER","Normal")</f>
        <v>Normal</v>
      </c>
    </row>
    <row r="446" spans="1:16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  <c r="O446" t="str">
        <f>IF(OR(F446&lt;'EDA Analysis'!$B$22,F446&gt;'EDA Analysis'!$B$23),"OUTLIER","Normal")</f>
        <v>Normal</v>
      </c>
      <c r="P446" t="str">
        <f>IF(OR(N446&lt;'EDA Analysis'!$E$6,N446&gt;'EDA Analysis'!$E$7),"OUTLIER","Normal")</f>
        <v>Normal</v>
      </c>
    </row>
    <row r="447" spans="1:16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  <c r="O447" t="str">
        <f>IF(OR(F447&lt;'EDA Analysis'!$B$22,F447&gt;'EDA Analysis'!$B$23),"OUTLIER","Normal")</f>
        <v>Normal</v>
      </c>
      <c r="P447" t="str">
        <f>IF(OR(N447&lt;'EDA Analysis'!$E$6,N447&gt;'EDA Analysis'!$E$7),"OUTLIER","Normal")</f>
        <v>Normal</v>
      </c>
    </row>
    <row r="448" spans="1:16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  <c r="O448" t="str">
        <f>IF(OR(F448&lt;'EDA Analysis'!$B$22,F448&gt;'EDA Analysis'!$B$23),"OUTLIER","Normal")</f>
        <v>Normal</v>
      </c>
      <c r="P448" t="str">
        <f>IF(OR(N448&lt;'EDA Analysis'!$E$6,N448&gt;'EDA Analysis'!$E$7),"OUTLIER","Normal")</f>
        <v>Normal</v>
      </c>
    </row>
    <row r="449" spans="1:16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  <c r="O449" t="str">
        <f>IF(OR(F449&lt;'EDA Analysis'!$B$22,F449&gt;'EDA Analysis'!$B$23),"OUTLIER","Normal")</f>
        <v>Normal</v>
      </c>
      <c r="P449" t="str">
        <f>IF(OR(N449&lt;'EDA Analysis'!$E$6,N449&gt;'EDA Analysis'!$E$7),"OUTLIER","Normal")</f>
        <v>Normal</v>
      </c>
    </row>
    <row r="450" spans="1:16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  <c r="O450" t="str">
        <f>IF(OR(F450&lt;'EDA Analysis'!$B$22,F450&gt;'EDA Analysis'!$B$23),"OUTLIER","Normal")</f>
        <v>Normal</v>
      </c>
      <c r="P450" t="str">
        <f>IF(OR(N450&lt;'EDA Analysis'!$E$6,N450&gt;'EDA Analysis'!$E$7),"OUTLIER","Normal")</f>
        <v>Normal</v>
      </c>
    </row>
    <row r="451" spans="1:16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  <c r="O451" t="str">
        <f>IF(OR(F451&lt;'EDA Analysis'!$B$22,F451&gt;'EDA Analysis'!$B$23),"OUTLIER","Normal")</f>
        <v>Normal</v>
      </c>
      <c r="P451" t="str">
        <f>IF(OR(N451&lt;'EDA Analysis'!$E$6,N451&gt;'EDA Analysis'!$E$7),"OUTLIER","Normal")</f>
        <v>Normal</v>
      </c>
    </row>
    <row r="452" spans="1:16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  <c r="O452" t="str">
        <f>IF(OR(F452&lt;'EDA Analysis'!$B$22,F452&gt;'EDA Analysis'!$B$23),"OUTLIER","Normal")</f>
        <v>Normal</v>
      </c>
      <c r="P452" t="str">
        <f>IF(OR(N452&lt;'EDA Analysis'!$E$6,N452&gt;'EDA Analysis'!$E$7),"OUTLIER","Normal")</f>
        <v>Normal</v>
      </c>
    </row>
    <row r="453" spans="1:16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  <c r="O453" t="str">
        <f>IF(OR(F453&lt;'EDA Analysis'!$B$22,F453&gt;'EDA Analysis'!$B$23),"OUTLIER","Normal")</f>
        <v>Normal</v>
      </c>
      <c r="P453" t="str">
        <f>IF(OR(N453&lt;'EDA Analysis'!$E$6,N453&gt;'EDA Analysis'!$E$7),"OUTLIER","Normal")</f>
        <v>Normal</v>
      </c>
    </row>
    <row r="454" spans="1:16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  <c r="O454" t="str">
        <f>IF(OR(F454&lt;'EDA Analysis'!$B$22,F454&gt;'EDA Analysis'!$B$23),"OUTLIER","Normal")</f>
        <v>Normal</v>
      </c>
      <c r="P454" t="str">
        <f>IF(OR(N454&lt;'EDA Analysis'!$E$6,N454&gt;'EDA Analysis'!$E$7),"OUTLIER","Normal")</f>
        <v>Normal</v>
      </c>
    </row>
    <row r="455" spans="1:16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  <c r="O455" t="str">
        <f>IF(OR(F455&lt;'EDA Analysis'!$B$22,F455&gt;'EDA Analysis'!$B$23),"OUTLIER","Normal")</f>
        <v>Normal</v>
      </c>
      <c r="P455" t="str">
        <f>IF(OR(N455&lt;'EDA Analysis'!$E$6,N455&gt;'EDA Analysis'!$E$7),"OUTLIER","Normal")</f>
        <v>Normal</v>
      </c>
    </row>
    <row r="456" spans="1:16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  <c r="O456" t="str">
        <f>IF(OR(F456&lt;'EDA Analysis'!$B$22,F456&gt;'EDA Analysis'!$B$23),"OUTLIER","Normal")</f>
        <v>Normal</v>
      </c>
      <c r="P456" t="str">
        <f>IF(OR(N456&lt;'EDA Analysis'!$E$6,N456&gt;'EDA Analysis'!$E$7),"OUTLIER","Normal")</f>
        <v>Normal</v>
      </c>
    </row>
    <row r="457" spans="1:16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  <c r="O457" t="str">
        <f>IF(OR(F457&lt;'EDA Analysis'!$B$22,F457&gt;'EDA Analysis'!$B$23),"OUTLIER","Normal")</f>
        <v>Normal</v>
      </c>
      <c r="P457" t="str">
        <f>IF(OR(N457&lt;'EDA Analysis'!$E$6,N457&gt;'EDA Analysis'!$E$7),"OUTLIER","Normal")</f>
        <v>Normal</v>
      </c>
    </row>
    <row r="458" spans="1:16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  <c r="O458" t="str">
        <f>IF(OR(F458&lt;'EDA Analysis'!$B$22,F458&gt;'EDA Analysis'!$B$23),"OUTLIER","Normal")</f>
        <v>Normal</v>
      </c>
      <c r="P458" t="str">
        <f>IF(OR(N458&lt;'EDA Analysis'!$E$6,N458&gt;'EDA Analysis'!$E$7),"OUTLIER","Normal")</f>
        <v>Normal</v>
      </c>
    </row>
    <row r="459" spans="1:16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  <c r="O459" t="str">
        <f>IF(OR(F459&lt;'EDA Analysis'!$B$22,F459&gt;'EDA Analysis'!$B$23),"OUTLIER","Normal")</f>
        <v>Normal</v>
      </c>
      <c r="P459" t="str">
        <f>IF(OR(N459&lt;'EDA Analysis'!$E$6,N459&gt;'EDA Analysis'!$E$7),"OUTLIER","Normal")</f>
        <v>Normal</v>
      </c>
    </row>
    <row r="460" spans="1:16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  <c r="O460" t="str">
        <f>IF(OR(F460&lt;'EDA Analysis'!$B$22,F460&gt;'EDA Analysis'!$B$23),"OUTLIER","Normal")</f>
        <v>Normal</v>
      </c>
      <c r="P460" t="str">
        <f>IF(OR(N460&lt;'EDA Analysis'!$E$6,N460&gt;'EDA Analysis'!$E$7),"OUTLIER","Normal")</f>
        <v>Normal</v>
      </c>
    </row>
    <row r="461" spans="1:16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  <c r="O461" t="str">
        <f>IF(OR(F461&lt;'EDA Analysis'!$B$22,F461&gt;'EDA Analysis'!$B$23),"OUTLIER","Normal")</f>
        <v>Normal</v>
      </c>
      <c r="P461" t="str">
        <f>IF(OR(N461&lt;'EDA Analysis'!$E$6,N461&gt;'EDA Analysis'!$E$7),"OUTLIER","Normal")</f>
        <v>Normal</v>
      </c>
    </row>
    <row r="462" spans="1:16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  <c r="O462" t="str">
        <f>IF(OR(F462&lt;'EDA Analysis'!$B$22,F462&gt;'EDA Analysis'!$B$23),"OUTLIER","Normal")</f>
        <v>Normal</v>
      </c>
      <c r="P462" t="str">
        <f>IF(OR(N462&lt;'EDA Analysis'!$E$6,N462&gt;'EDA Analysis'!$E$7),"OUTLIER","Normal")</f>
        <v>Normal</v>
      </c>
    </row>
    <row r="463" spans="1:16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  <c r="O463" t="str">
        <f>IF(OR(F463&lt;'EDA Analysis'!$B$22,F463&gt;'EDA Analysis'!$B$23),"OUTLIER","Normal")</f>
        <v>Normal</v>
      </c>
      <c r="P463" t="str">
        <f>IF(OR(N463&lt;'EDA Analysis'!$E$6,N463&gt;'EDA Analysis'!$E$7),"OUTLIER","Normal")</f>
        <v>Normal</v>
      </c>
    </row>
    <row r="464" spans="1:16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  <c r="O464" t="str">
        <f>IF(OR(F464&lt;'EDA Analysis'!$B$22,F464&gt;'EDA Analysis'!$B$23),"OUTLIER","Normal")</f>
        <v>Normal</v>
      </c>
      <c r="P464" t="str">
        <f>IF(OR(N464&lt;'EDA Analysis'!$E$6,N464&gt;'EDA Analysis'!$E$7),"OUTLIER","Normal")</f>
        <v>Normal</v>
      </c>
    </row>
    <row r="465" spans="1:16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  <c r="O465" t="str">
        <f>IF(OR(F465&lt;'EDA Analysis'!$B$22,F465&gt;'EDA Analysis'!$B$23),"OUTLIER","Normal")</f>
        <v>Normal</v>
      </c>
      <c r="P465" t="str">
        <f>IF(OR(N465&lt;'EDA Analysis'!$E$6,N465&gt;'EDA Analysis'!$E$7),"OUTLIER","Normal")</f>
        <v>Normal</v>
      </c>
    </row>
    <row r="466" spans="1:16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  <c r="O466" t="str">
        <f>IF(OR(F466&lt;'EDA Analysis'!$B$22,F466&gt;'EDA Analysis'!$B$23),"OUTLIER","Normal")</f>
        <v>Normal</v>
      </c>
      <c r="P466" t="str">
        <f>IF(OR(N466&lt;'EDA Analysis'!$E$6,N466&gt;'EDA Analysis'!$E$7),"OUTLIER","Normal")</f>
        <v>Normal</v>
      </c>
    </row>
    <row r="467" spans="1:16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  <c r="O467" t="str">
        <f>IF(OR(F467&lt;'EDA Analysis'!$B$22,F467&gt;'EDA Analysis'!$B$23),"OUTLIER","Normal")</f>
        <v>Normal</v>
      </c>
      <c r="P467" t="str">
        <f>IF(OR(N467&lt;'EDA Analysis'!$E$6,N467&gt;'EDA Analysis'!$E$7),"OUTLIER","Normal")</f>
        <v>Normal</v>
      </c>
    </row>
    <row r="468" spans="1:16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  <c r="O468" t="str">
        <f>IF(OR(F468&lt;'EDA Analysis'!$B$22,F468&gt;'EDA Analysis'!$B$23),"OUTLIER","Normal")</f>
        <v>Normal</v>
      </c>
      <c r="P468" t="str">
        <f>IF(OR(N468&lt;'EDA Analysis'!$E$6,N468&gt;'EDA Analysis'!$E$7),"OUTLIER","Normal")</f>
        <v>Normal</v>
      </c>
    </row>
    <row r="469" spans="1:16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  <c r="O469" t="str">
        <f>IF(OR(F469&lt;'EDA Analysis'!$B$22,F469&gt;'EDA Analysis'!$B$23),"OUTLIER","Normal")</f>
        <v>Normal</v>
      </c>
      <c r="P469" t="str">
        <f>IF(OR(N469&lt;'EDA Analysis'!$E$6,N469&gt;'EDA Analysis'!$E$7),"OUTLIER","Normal")</f>
        <v>Normal</v>
      </c>
    </row>
    <row r="470" spans="1:16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  <c r="O470" t="str">
        <f>IF(OR(F470&lt;'EDA Analysis'!$B$22,F470&gt;'EDA Analysis'!$B$23),"OUTLIER","Normal")</f>
        <v>Normal</v>
      </c>
      <c r="P470" t="str">
        <f>IF(OR(N470&lt;'EDA Analysis'!$E$6,N470&gt;'EDA Analysis'!$E$7),"OUTLIER","Normal")</f>
        <v>Normal</v>
      </c>
    </row>
    <row r="471" spans="1:16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  <c r="O471" t="str">
        <f>IF(OR(F471&lt;'EDA Analysis'!$B$22,F471&gt;'EDA Analysis'!$B$23),"OUTLIER","Normal")</f>
        <v>Normal</v>
      </c>
      <c r="P471" t="str">
        <f>IF(OR(N471&lt;'EDA Analysis'!$E$6,N471&gt;'EDA Analysis'!$E$7),"OUTLIER","Normal")</f>
        <v>OUTLIER</v>
      </c>
    </row>
    <row r="472" spans="1:16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  <c r="O472" t="str">
        <f>IF(OR(F472&lt;'EDA Analysis'!$B$22,F472&gt;'EDA Analysis'!$B$23),"OUTLIER","Normal")</f>
        <v>Normal</v>
      </c>
      <c r="P472" t="str">
        <f>IF(OR(N472&lt;'EDA Analysis'!$E$6,N472&gt;'EDA Analysis'!$E$7),"OUTLIER","Normal")</f>
        <v>Normal</v>
      </c>
    </row>
    <row r="473" spans="1:16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  <c r="O473" t="str">
        <f>IF(OR(F473&lt;'EDA Analysis'!$B$22,F473&gt;'EDA Analysis'!$B$23),"OUTLIER","Normal")</f>
        <v>Normal</v>
      </c>
      <c r="P473" t="str">
        <f>IF(OR(N473&lt;'EDA Analysis'!$E$6,N473&gt;'EDA Analysis'!$E$7),"OUTLIER","Normal")</f>
        <v>Normal</v>
      </c>
    </row>
    <row r="474" spans="1:16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  <c r="O474" t="str">
        <f>IF(OR(F474&lt;'EDA Analysis'!$B$22,F474&gt;'EDA Analysis'!$B$23),"OUTLIER","Normal")</f>
        <v>Normal</v>
      </c>
      <c r="P474" t="str">
        <f>IF(OR(N474&lt;'EDA Analysis'!$E$6,N474&gt;'EDA Analysis'!$E$7),"OUTLIER","Normal")</f>
        <v>Normal</v>
      </c>
    </row>
    <row r="475" spans="1:16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  <c r="O475" t="str">
        <f>IF(OR(F475&lt;'EDA Analysis'!$B$22,F475&gt;'EDA Analysis'!$B$23),"OUTLIER","Normal")</f>
        <v>Normal</v>
      </c>
      <c r="P475" t="str">
        <f>IF(OR(N475&lt;'EDA Analysis'!$E$6,N475&gt;'EDA Analysis'!$E$7),"OUTLIER","Normal")</f>
        <v>Normal</v>
      </c>
    </row>
    <row r="476" spans="1:16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  <c r="O476" t="str">
        <f>IF(OR(F476&lt;'EDA Analysis'!$B$22,F476&gt;'EDA Analysis'!$B$23),"OUTLIER","Normal")</f>
        <v>Normal</v>
      </c>
      <c r="P476" t="str">
        <f>IF(OR(N476&lt;'EDA Analysis'!$E$6,N476&gt;'EDA Analysis'!$E$7),"OUTLIER","Normal")</f>
        <v>Normal</v>
      </c>
    </row>
    <row r="477" spans="1:16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  <c r="O477" t="str">
        <f>IF(OR(F477&lt;'EDA Analysis'!$B$22,F477&gt;'EDA Analysis'!$B$23),"OUTLIER","Normal")</f>
        <v>Normal</v>
      </c>
      <c r="P477" t="str">
        <f>IF(OR(N477&lt;'EDA Analysis'!$E$6,N477&gt;'EDA Analysis'!$E$7),"OUTLIER","Normal")</f>
        <v>Normal</v>
      </c>
    </row>
    <row r="478" spans="1:16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  <c r="O478" t="str">
        <f>IF(OR(F478&lt;'EDA Analysis'!$B$22,F478&gt;'EDA Analysis'!$B$23),"OUTLIER","Normal")</f>
        <v>Normal</v>
      </c>
      <c r="P478" t="str">
        <f>IF(OR(N478&lt;'EDA Analysis'!$E$6,N478&gt;'EDA Analysis'!$E$7),"OUTLIER","Normal")</f>
        <v>Normal</v>
      </c>
    </row>
    <row r="479" spans="1:16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  <c r="O479" t="str">
        <f>IF(OR(F479&lt;'EDA Analysis'!$B$22,F479&gt;'EDA Analysis'!$B$23),"OUTLIER","Normal")</f>
        <v>Normal</v>
      </c>
      <c r="P479" t="str">
        <f>IF(OR(N479&lt;'EDA Analysis'!$E$6,N479&gt;'EDA Analysis'!$E$7),"OUTLIER","Normal")</f>
        <v>Normal</v>
      </c>
    </row>
    <row r="480" spans="1:16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  <c r="O480" t="str">
        <f>IF(OR(F480&lt;'EDA Analysis'!$B$22,F480&gt;'EDA Analysis'!$B$23),"OUTLIER","Normal")</f>
        <v>Normal</v>
      </c>
      <c r="P480" t="str">
        <f>IF(OR(N480&lt;'EDA Analysis'!$E$6,N480&gt;'EDA Analysis'!$E$7),"OUTLIER","Normal")</f>
        <v>Normal</v>
      </c>
    </row>
    <row r="481" spans="1:16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  <c r="O481" t="str">
        <f>IF(OR(F481&lt;'EDA Analysis'!$B$22,F481&gt;'EDA Analysis'!$B$23),"OUTLIER","Normal")</f>
        <v>Normal</v>
      </c>
      <c r="P481" t="str">
        <f>IF(OR(N481&lt;'EDA Analysis'!$E$6,N481&gt;'EDA Analysis'!$E$7),"OUTLIER","Normal")</f>
        <v>Normal</v>
      </c>
    </row>
    <row r="482" spans="1:16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  <c r="O482" t="str">
        <f>IF(OR(F482&lt;'EDA Analysis'!$B$22,F482&gt;'EDA Analysis'!$B$23),"OUTLIER","Normal")</f>
        <v>Normal</v>
      </c>
      <c r="P482" t="str">
        <f>IF(OR(N482&lt;'EDA Analysis'!$E$6,N482&gt;'EDA Analysis'!$E$7),"OUTLIER","Normal")</f>
        <v>Normal</v>
      </c>
    </row>
    <row r="483" spans="1:16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  <c r="O483" t="str">
        <f>IF(OR(F483&lt;'EDA Analysis'!$B$22,F483&gt;'EDA Analysis'!$B$23),"OUTLIER","Normal")</f>
        <v>Normal</v>
      </c>
      <c r="P483" t="str">
        <f>IF(OR(N483&lt;'EDA Analysis'!$E$6,N483&gt;'EDA Analysis'!$E$7),"OUTLIER","Normal")</f>
        <v>Normal</v>
      </c>
    </row>
    <row r="484" spans="1:16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  <c r="O484" t="str">
        <f>IF(OR(F484&lt;'EDA Analysis'!$B$22,F484&gt;'EDA Analysis'!$B$23),"OUTLIER","Normal")</f>
        <v>Normal</v>
      </c>
      <c r="P484" t="str">
        <f>IF(OR(N484&lt;'EDA Analysis'!$E$6,N484&gt;'EDA Analysis'!$E$7),"OUTLIER","Normal")</f>
        <v>Normal</v>
      </c>
    </row>
    <row r="485" spans="1:16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  <c r="O485" t="str">
        <f>IF(OR(F485&lt;'EDA Analysis'!$B$22,F485&gt;'EDA Analysis'!$B$23),"OUTLIER","Normal")</f>
        <v>Normal</v>
      </c>
      <c r="P485" t="str">
        <f>IF(OR(N485&lt;'EDA Analysis'!$E$6,N485&gt;'EDA Analysis'!$E$7),"OUTLIER","Normal")</f>
        <v>Normal</v>
      </c>
    </row>
    <row r="486" spans="1:16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  <c r="O486" t="str">
        <f>IF(OR(F486&lt;'EDA Analysis'!$B$22,F486&gt;'EDA Analysis'!$B$23),"OUTLIER","Normal")</f>
        <v>Normal</v>
      </c>
      <c r="P486" t="str">
        <f>IF(OR(N486&lt;'EDA Analysis'!$E$6,N486&gt;'EDA Analysis'!$E$7),"OUTLIER","Normal")</f>
        <v>Normal</v>
      </c>
    </row>
    <row r="487" spans="1:16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  <c r="O487" t="str">
        <f>IF(OR(F487&lt;'EDA Analysis'!$B$22,F487&gt;'EDA Analysis'!$B$23),"OUTLIER","Normal")</f>
        <v>Normal</v>
      </c>
      <c r="P487" t="str">
        <f>IF(OR(N487&lt;'EDA Analysis'!$E$6,N487&gt;'EDA Analysis'!$E$7),"OUTLIER","Normal")</f>
        <v>Normal</v>
      </c>
    </row>
    <row r="488" spans="1:16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  <c r="O488" t="str">
        <f>IF(OR(F488&lt;'EDA Analysis'!$B$22,F488&gt;'EDA Analysis'!$B$23),"OUTLIER","Normal")</f>
        <v>Normal</v>
      </c>
      <c r="P488" t="str">
        <f>IF(OR(N488&lt;'EDA Analysis'!$E$6,N488&gt;'EDA Analysis'!$E$7),"OUTLIER","Normal")</f>
        <v>Normal</v>
      </c>
    </row>
    <row r="489" spans="1:16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  <c r="O489" t="str">
        <f>IF(OR(F489&lt;'EDA Analysis'!$B$22,F489&gt;'EDA Analysis'!$B$23),"OUTLIER","Normal")</f>
        <v>Normal</v>
      </c>
      <c r="P489" t="str">
        <f>IF(OR(N489&lt;'EDA Analysis'!$E$6,N489&gt;'EDA Analysis'!$E$7),"OUTLIER","Normal")</f>
        <v>Normal</v>
      </c>
    </row>
    <row r="490" spans="1:16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  <c r="O490" t="str">
        <f>IF(OR(F490&lt;'EDA Analysis'!$B$22,F490&gt;'EDA Analysis'!$B$23),"OUTLIER","Normal")</f>
        <v>Normal</v>
      </c>
      <c r="P490" t="str">
        <f>IF(OR(N490&lt;'EDA Analysis'!$E$6,N490&gt;'EDA Analysis'!$E$7),"OUTLIER","Normal")</f>
        <v>Normal</v>
      </c>
    </row>
    <row r="491" spans="1:16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  <c r="O491" t="str">
        <f>IF(OR(F491&lt;'EDA Analysis'!$B$22,F491&gt;'EDA Analysis'!$B$23),"OUTLIER","Normal")</f>
        <v>Normal</v>
      </c>
      <c r="P491" t="str">
        <f>IF(OR(N491&lt;'EDA Analysis'!$E$6,N491&gt;'EDA Analysis'!$E$7),"OUTLIER","Normal")</f>
        <v>Normal</v>
      </c>
    </row>
    <row r="492" spans="1:16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  <c r="O492" t="str">
        <f>IF(OR(F492&lt;'EDA Analysis'!$B$22,F492&gt;'EDA Analysis'!$B$23),"OUTLIER","Normal")</f>
        <v>Normal</v>
      </c>
      <c r="P492" t="str">
        <f>IF(OR(N492&lt;'EDA Analysis'!$E$6,N492&gt;'EDA Analysis'!$E$7),"OUTLIER","Normal")</f>
        <v>Normal</v>
      </c>
    </row>
    <row r="493" spans="1:16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  <c r="O493" t="str">
        <f>IF(OR(F493&lt;'EDA Analysis'!$B$22,F493&gt;'EDA Analysis'!$B$23),"OUTLIER","Normal")</f>
        <v>Normal</v>
      </c>
      <c r="P493" t="str">
        <f>IF(OR(N493&lt;'EDA Analysis'!$E$6,N493&gt;'EDA Analysis'!$E$7),"OUTLIER","Normal")</f>
        <v>Normal</v>
      </c>
    </row>
    <row r="494" spans="1:16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  <c r="O494" t="str">
        <f>IF(OR(F494&lt;'EDA Analysis'!$B$22,F494&gt;'EDA Analysis'!$B$23),"OUTLIER","Normal")</f>
        <v>Normal</v>
      </c>
      <c r="P494" t="str">
        <f>IF(OR(N494&lt;'EDA Analysis'!$E$6,N494&gt;'EDA Analysis'!$E$7),"OUTLIER","Normal")</f>
        <v>Normal</v>
      </c>
    </row>
    <row r="495" spans="1:16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  <c r="O495" t="str">
        <f>IF(OR(F495&lt;'EDA Analysis'!$B$22,F495&gt;'EDA Analysis'!$B$23),"OUTLIER","Normal")</f>
        <v>Normal</v>
      </c>
      <c r="P495" t="str">
        <f>IF(OR(N495&lt;'EDA Analysis'!$E$6,N495&gt;'EDA Analysis'!$E$7),"OUTLIER","Normal")</f>
        <v>Normal</v>
      </c>
    </row>
    <row r="496" spans="1:16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  <c r="O496" t="str">
        <f>IF(OR(F496&lt;'EDA Analysis'!$B$22,F496&gt;'EDA Analysis'!$B$23),"OUTLIER","Normal")</f>
        <v>Normal</v>
      </c>
      <c r="P496" t="str">
        <f>IF(OR(N496&lt;'EDA Analysis'!$E$6,N496&gt;'EDA Analysis'!$E$7),"OUTLIER","Normal")</f>
        <v>Normal</v>
      </c>
    </row>
    <row r="497" spans="1:16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  <c r="O497" t="str">
        <f>IF(OR(F497&lt;'EDA Analysis'!$B$22,F497&gt;'EDA Analysis'!$B$23),"OUTLIER","Normal")</f>
        <v>Normal</v>
      </c>
      <c r="P497" t="str">
        <f>IF(OR(N497&lt;'EDA Analysis'!$E$6,N497&gt;'EDA Analysis'!$E$7),"OUTLIER","Normal")</f>
        <v>Normal</v>
      </c>
    </row>
    <row r="498" spans="1:16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  <c r="O498" t="str">
        <f>IF(OR(F498&lt;'EDA Analysis'!$B$22,F498&gt;'EDA Analysis'!$B$23),"OUTLIER","Normal")</f>
        <v>Normal</v>
      </c>
      <c r="P498" t="str">
        <f>IF(OR(N498&lt;'EDA Analysis'!$E$6,N498&gt;'EDA Analysis'!$E$7),"OUTLIER","Normal")</f>
        <v>Normal</v>
      </c>
    </row>
    <row r="499" spans="1:16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  <c r="O499" t="str">
        <f>IF(OR(F499&lt;'EDA Analysis'!$B$22,F499&gt;'EDA Analysis'!$B$23),"OUTLIER","Normal")</f>
        <v>Normal</v>
      </c>
      <c r="P499" t="str">
        <f>IF(OR(N499&lt;'EDA Analysis'!$E$6,N499&gt;'EDA Analysis'!$E$7),"OUTLIER","Normal")</f>
        <v>Normal</v>
      </c>
    </row>
    <row r="500" spans="1:16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  <c r="O500" t="str">
        <f>IF(OR(F500&lt;'EDA Analysis'!$B$22,F500&gt;'EDA Analysis'!$B$23),"OUTLIER","Normal")</f>
        <v>Normal</v>
      </c>
      <c r="P500" t="str">
        <f>IF(OR(N500&lt;'EDA Analysis'!$E$6,N500&gt;'EDA Analysis'!$E$7),"OUTLIER","Normal")</f>
        <v>Normal</v>
      </c>
    </row>
    <row r="501" spans="1:16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  <c r="O501" t="str">
        <f>IF(OR(F501&lt;'EDA Analysis'!$B$22,F501&gt;'EDA Analysis'!$B$23),"OUTLIER","Normal")</f>
        <v>Normal</v>
      </c>
      <c r="P501" t="str">
        <f>IF(OR(N501&lt;'EDA Analysis'!$E$6,N501&gt;'EDA Analysis'!$E$7),"OUTLIER","Normal")</f>
        <v>Normal</v>
      </c>
    </row>
    <row r="502" spans="1:16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  <c r="O502" t="str">
        <f>IF(OR(F502&lt;'EDA Analysis'!$B$22,F502&gt;'EDA Analysis'!$B$23),"OUTLIER","Normal")</f>
        <v>Normal</v>
      </c>
      <c r="P502" t="str">
        <f>IF(OR(N502&lt;'EDA Analysis'!$E$6,N502&gt;'EDA Analysis'!$E$7),"OUTLIER","Normal")</f>
        <v>Normal</v>
      </c>
    </row>
    <row r="503" spans="1:16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  <c r="O503" t="str">
        <f>IF(OR(F503&lt;'EDA Analysis'!$B$22,F503&gt;'EDA Analysis'!$B$23),"OUTLIER","Normal")</f>
        <v>Normal</v>
      </c>
      <c r="P503" t="str">
        <f>IF(OR(N503&lt;'EDA Analysis'!$E$6,N503&gt;'EDA Analysis'!$E$7),"OUTLIER","Normal")</f>
        <v>Normal</v>
      </c>
    </row>
    <row r="504" spans="1:16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  <c r="O504" t="str">
        <f>IF(OR(F504&lt;'EDA Analysis'!$B$22,F504&gt;'EDA Analysis'!$B$23),"OUTLIER","Normal")</f>
        <v>Normal</v>
      </c>
      <c r="P504" t="str">
        <f>IF(OR(N504&lt;'EDA Analysis'!$E$6,N504&gt;'EDA Analysis'!$E$7),"OUTLIER","Normal")</f>
        <v>Normal</v>
      </c>
    </row>
    <row r="505" spans="1:16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  <c r="O505" t="str">
        <f>IF(OR(F505&lt;'EDA Analysis'!$B$22,F505&gt;'EDA Analysis'!$B$23),"OUTLIER","Normal")</f>
        <v>Normal</v>
      </c>
      <c r="P505" t="str">
        <f>IF(OR(N505&lt;'EDA Analysis'!$E$6,N505&gt;'EDA Analysis'!$E$7),"OUTLIER","Normal")</f>
        <v>Normal</v>
      </c>
    </row>
    <row r="506" spans="1:16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  <c r="O506" t="str">
        <f>IF(OR(F506&lt;'EDA Analysis'!$B$22,F506&gt;'EDA Analysis'!$B$23),"OUTLIER","Normal")</f>
        <v>Normal</v>
      </c>
      <c r="P506" t="str">
        <f>IF(OR(N506&lt;'EDA Analysis'!$E$6,N506&gt;'EDA Analysis'!$E$7),"OUTLIER","Normal")</f>
        <v>Normal</v>
      </c>
    </row>
    <row r="507" spans="1:16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  <c r="O507" t="str">
        <f>IF(OR(F507&lt;'EDA Analysis'!$B$22,F507&gt;'EDA Analysis'!$B$23),"OUTLIER","Normal")</f>
        <v>Normal</v>
      </c>
      <c r="P507" t="str">
        <f>IF(OR(N507&lt;'EDA Analysis'!$E$6,N507&gt;'EDA Analysis'!$E$7),"OUTLIER","Normal")</f>
        <v>Normal</v>
      </c>
    </row>
    <row r="508" spans="1:16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  <c r="O508" t="str">
        <f>IF(OR(F508&lt;'EDA Analysis'!$B$22,F508&gt;'EDA Analysis'!$B$23),"OUTLIER","Normal")</f>
        <v>Normal</v>
      </c>
      <c r="P508" t="str">
        <f>IF(OR(N508&lt;'EDA Analysis'!$E$6,N508&gt;'EDA Analysis'!$E$7),"OUTLIER","Normal")</f>
        <v>Normal</v>
      </c>
    </row>
    <row r="509" spans="1:16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  <c r="O509" t="str">
        <f>IF(OR(F509&lt;'EDA Analysis'!$B$22,F509&gt;'EDA Analysis'!$B$23),"OUTLIER","Normal")</f>
        <v>Normal</v>
      </c>
      <c r="P509" t="str">
        <f>IF(OR(N509&lt;'EDA Analysis'!$E$6,N509&gt;'EDA Analysis'!$E$7),"OUTLIER","Normal")</f>
        <v>Normal</v>
      </c>
    </row>
    <row r="510" spans="1:16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  <c r="O510" t="str">
        <f>IF(OR(F510&lt;'EDA Analysis'!$B$22,F510&gt;'EDA Analysis'!$B$23),"OUTLIER","Normal")</f>
        <v>Normal</v>
      </c>
      <c r="P510" t="str">
        <f>IF(OR(N510&lt;'EDA Analysis'!$E$6,N510&gt;'EDA Analysis'!$E$7),"OUTLIER","Normal")</f>
        <v>Normal</v>
      </c>
    </row>
    <row r="511" spans="1:16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  <c r="O511" t="str">
        <f>IF(OR(F511&lt;'EDA Analysis'!$B$22,F511&gt;'EDA Analysis'!$B$23),"OUTLIER","Normal")</f>
        <v>Normal</v>
      </c>
      <c r="P511" t="str">
        <f>IF(OR(N511&lt;'EDA Analysis'!$E$6,N511&gt;'EDA Analysis'!$E$7),"OUTLIER","Normal")</f>
        <v>Normal</v>
      </c>
    </row>
    <row r="512" spans="1:16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  <c r="O512" t="str">
        <f>IF(OR(F512&lt;'EDA Analysis'!$B$22,F512&gt;'EDA Analysis'!$B$23),"OUTLIER","Normal")</f>
        <v>Normal</v>
      </c>
      <c r="P512" t="str">
        <f>IF(OR(N512&lt;'EDA Analysis'!$E$6,N512&gt;'EDA Analysis'!$E$7),"OUTLIER","Normal")</f>
        <v>Normal</v>
      </c>
    </row>
    <row r="513" spans="1:16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  <c r="O513" t="str">
        <f>IF(OR(F513&lt;'EDA Analysis'!$B$22,F513&gt;'EDA Analysis'!$B$23),"OUTLIER","Normal")</f>
        <v>Normal</v>
      </c>
      <c r="P513" t="str">
        <f>IF(OR(N513&lt;'EDA Analysis'!$E$6,N513&gt;'EDA Analysis'!$E$7),"OUTLIER","Normal")</f>
        <v>Normal</v>
      </c>
    </row>
    <row r="514" spans="1:16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  <c r="O514" t="str">
        <f>IF(OR(F514&lt;'EDA Analysis'!$B$22,F514&gt;'EDA Analysis'!$B$23),"OUTLIER","Normal")</f>
        <v>Normal</v>
      </c>
      <c r="P514" t="str">
        <f>IF(OR(N514&lt;'EDA Analysis'!$E$6,N514&gt;'EDA Analysis'!$E$7),"OUTLIER","Normal")</f>
        <v>Normal</v>
      </c>
    </row>
    <row r="515" spans="1:16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  <c r="O515" t="str">
        <f>IF(OR(F515&lt;'EDA Analysis'!$B$22,F515&gt;'EDA Analysis'!$B$23),"OUTLIER","Normal")</f>
        <v>Normal</v>
      </c>
      <c r="P515" t="str">
        <f>IF(OR(N515&lt;'EDA Analysis'!$E$6,N515&gt;'EDA Analysis'!$E$7),"OUTLIER","Normal")</f>
        <v>Normal</v>
      </c>
    </row>
    <row r="516" spans="1:16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  <c r="O516" t="str">
        <f>IF(OR(F516&lt;'EDA Analysis'!$B$22,F516&gt;'EDA Analysis'!$B$23),"OUTLIER","Normal")</f>
        <v>Normal</v>
      </c>
      <c r="P516" t="str">
        <f>IF(OR(N516&lt;'EDA Analysis'!$E$6,N516&gt;'EDA Analysis'!$E$7),"OUTLIER","Normal")</f>
        <v>Normal</v>
      </c>
    </row>
    <row r="517" spans="1:16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  <c r="O517" t="str">
        <f>IF(OR(F517&lt;'EDA Analysis'!$B$22,F517&gt;'EDA Analysis'!$B$23),"OUTLIER","Normal")</f>
        <v>Normal</v>
      </c>
      <c r="P517" t="str">
        <f>IF(OR(N517&lt;'EDA Analysis'!$E$6,N517&gt;'EDA Analysis'!$E$7),"OUTLIER","Normal")</f>
        <v>Normal</v>
      </c>
    </row>
    <row r="518" spans="1:16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  <c r="O518" t="str">
        <f>IF(OR(F518&lt;'EDA Analysis'!$B$22,F518&gt;'EDA Analysis'!$B$23),"OUTLIER","Normal")</f>
        <v>Normal</v>
      </c>
      <c r="P518" t="str">
        <f>IF(OR(N518&lt;'EDA Analysis'!$E$6,N518&gt;'EDA Analysis'!$E$7),"OUTLIER","Normal")</f>
        <v>Normal</v>
      </c>
    </row>
    <row r="519" spans="1:16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  <c r="O519" t="str">
        <f>IF(OR(F519&lt;'EDA Analysis'!$B$22,F519&gt;'EDA Analysis'!$B$23),"OUTLIER","Normal")</f>
        <v>Normal</v>
      </c>
      <c r="P519" t="str">
        <f>IF(OR(N519&lt;'EDA Analysis'!$E$6,N519&gt;'EDA Analysis'!$E$7),"OUTLIER","Normal")</f>
        <v>Normal</v>
      </c>
    </row>
    <row r="520" spans="1:16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  <c r="O520" t="str">
        <f>IF(OR(F520&lt;'EDA Analysis'!$B$22,F520&gt;'EDA Analysis'!$B$23),"OUTLIER","Normal")</f>
        <v>Normal</v>
      </c>
      <c r="P520" t="str">
        <f>IF(OR(N520&lt;'EDA Analysis'!$E$6,N520&gt;'EDA Analysis'!$E$7),"OUTLIER","Normal")</f>
        <v>Normal</v>
      </c>
    </row>
    <row r="521" spans="1:16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  <c r="O521" t="str">
        <f>IF(OR(F521&lt;'EDA Analysis'!$B$22,F521&gt;'EDA Analysis'!$B$23),"OUTLIER","Normal")</f>
        <v>Normal</v>
      </c>
      <c r="P521" t="str">
        <f>IF(OR(N521&lt;'EDA Analysis'!$E$6,N521&gt;'EDA Analysis'!$E$7),"OUTLIER","Normal")</f>
        <v>Normal</v>
      </c>
    </row>
    <row r="522" spans="1:16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  <c r="O522" t="str">
        <f>IF(OR(F522&lt;'EDA Analysis'!$B$22,F522&gt;'EDA Analysis'!$B$23),"OUTLIER","Normal")</f>
        <v>Normal</v>
      </c>
      <c r="P522" t="str">
        <f>IF(OR(N522&lt;'EDA Analysis'!$E$6,N522&gt;'EDA Analysis'!$E$7),"OUTLIER","Normal")</f>
        <v>Normal</v>
      </c>
    </row>
    <row r="523" spans="1:16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  <c r="O523" t="str">
        <f>IF(OR(F523&lt;'EDA Analysis'!$B$22,F523&gt;'EDA Analysis'!$B$23),"OUTLIER","Normal")</f>
        <v>Normal</v>
      </c>
      <c r="P523" t="str">
        <f>IF(OR(N523&lt;'EDA Analysis'!$E$6,N523&gt;'EDA Analysis'!$E$7),"OUTLIER","Normal")</f>
        <v>Normal</v>
      </c>
    </row>
    <row r="524" spans="1:16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  <c r="O524" t="str">
        <f>IF(OR(F524&lt;'EDA Analysis'!$B$22,F524&gt;'EDA Analysis'!$B$23),"OUTLIER","Normal")</f>
        <v>Normal</v>
      </c>
      <c r="P524" t="str">
        <f>IF(OR(N524&lt;'EDA Analysis'!$E$6,N524&gt;'EDA Analysis'!$E$7),"OUTLIER","Normal")</f>
        <v>Normal</v>
      </c>
    </row>
    <row r="525" spans="1:16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  <c r="O525" t="str">
        <f>IF(OR(F525&lt;'EDA Analysis'!$B$22,F525&gt;'EDA Analysis'!$B$23),"OUTLIER","Normal")</f>
        <v>Normal</v>
      </c>
      <c r="P525" t="str">
        <f>IF(OR(N525&lt;'EDA Analysis'!$E$6,N525&gt;'EDA Analysis'!$E$7),"OUTLIER","Normal")</f>
        <v>Normal</v>
      </c>
    </row>
    <row r="526" spans="1:16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  <c r="O526" t="str">
        <f>IF(OR(F526&lt;'EDA Analysis'!$B$22,F526&gt;'EDA Analysis'!$B$23),"OUTLIER","Normal")</f>
        <v>Normal</v>
      </c>
      <c r="P526" t="str">
        <f>IF(OR(N526&lt;'EDA Analysis'!$E$6,N526&gt;'EDA Analysis'!$E$7),"OUTLIER","Normal")</f>
        <v>Normal</v>
      </c>
    </row>
    <row r="527" spans="1:16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  <c r="O527" t="str">
        <f>IF(OR(F527&lt;'EDA Analysis'!$B$22,F527&gt;'EDA Analysis'!$B$23),"OUTLIER","Normal")</f>
        <v>Normal</v>
      </c>
      <c r="P527" t="str">
        <f>IF(OR(N527&lt;'EDA Analysis'!$E$6,N527&gt;'EDA Analysis'!$E$7),"OUTLIER","Normal")</f>
        <v>Normal</v>
      </c>
    </row>
    <row r="528" spans="1:16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  <c r="O528" t="str">
        <f>IF(OR(F528&lt;'EDA Analysis'!$B$22,F528&gt;'EDA Analysis'!$B$23),"OUTLIER","Normal")</f>
        <v>Normal</v>
      </c>
      <c r="P528" t="str">
        <f>IF(OR(N528&lt;'EDA Analysis'!$E$6,N528&gt;'EDA Analysis'!$E$7),"OUTLIER","Normal")</f>
        <v>Normal</v>
      </c>
    </row>
    <row r="529" spans="1:16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  <c r="O529" t="str">
        <f>IF(OR(F529&lt;'EDA Analysis'!$B$22,F529&gt;'EDA Analysis'!$B$23),"OUTLIER","Normal")</f>
        <v>Normal</v>
      </c>
      <c r="P529" t="str">
        <f>IF(OR(N529&lt;'EDA Analysis'!$E$6,N529&gt;'EDA Analysis'!$E$7),"OUTLIER","Normal")</f>
        <v>Normal</v>
      </c>
    </row>
    <row r="530" spans="1:16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  <c r="O530" t="str">
        <f>IF(OR(F530&lt;'EDA Analysis'!$B$22,F530&gt;'EDA Analysis'!$B$23),"OUTLIER","Normal")</f>
        <v>Normal</v>
      </c>
      <c r="P530" t="str">
        <f>IF(OR(N530&lt;'EDA Analysis'!$E$6,N530&gt;'EDA Analysis'!$E$7),"OUTLIER","Normal")</f>
        <v>Normal</v>
      </c>
    </row>
    <row r="531" spans="1:16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  <c r="O531" t="str">
        <f>IF(OR(F531&lt;'EDA Analysis'!$B$22,F531&gt;'EDA Analysis'!$B$23),"OUTLIER","Normal")</f>
        <v>Normal</v>
      </c>
      <c r="P531" t="str">
        <f>IF(OR(N531&lt;'EDA Analysis'!$E$6,N531&gt;'EDA Analysis'!$E$7),"OUTLIER","Normal")</f>
        <v>Normal</v>
      </c>
    </row>
    <row r="532" spans="1:16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  <c r="O532" t="str">
        <f>IF(OR(F532&lt;'EDA Analysis'!$B$22,F532&gt;'EDA Analysis'!$B$23),"OUTLIER","Normal")</f>
        <v>Normal</v>
      </c>
      <c r="P532" t="str">
        <f>IF(OR(N532&lt;'EDA Analysis'!$E$6,N532&gt;'EDA Analysis'!$E$7),"OUTLIER","Normal")</f>
        <v>Normal</v>
      </c>
    </row>
    <row r="533" spans="1:16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  <c r="O533" t="str">
        <f>IF(OR(F533&lt;'EDA Analysis'!$B$22,F533&gt;'EDA Analysis'!$B$23),"OUTLIER","Normal")</f>
        <v>Normal</v>
      </c>
      <c r="P533" t="str">
        <f>IF(OR(N533&lt;'EDA Analysis'!$E$6,N533&gt;'EDA Analysis'!$E$7),"OUTLIER","Normal")</f>
        <v>Normal</v>
      </c>
    </row>
    <row r="534" spans="1:16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  <c r="O534" t="str">
        <f>IF(OR(F534&lt;'EDA Analysis'!$B$22,F534&gt;'EDA Analysis'!$B$23),"OUTLIER","Normal")</f>
        <v>Normal</v>
      </c>
      <c r="P534" t="str">
        <f>IF(OR(N534&lt;'EDA Analysis'!$E$6,N534&gt;'EDA Analysis'!$E$7),"OUTLIER","Normal")</f>
        <v>Normal</v>
      </c>
    </row>
    <row r="535" spans="1:16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  <c r="O535" t="str">
        <f>IF(OR(F535&lt;'EDA Analysis'!$B$22,F535&gt;'EDA Analysis'!$B$23),"OUTLIER","Normal")</f>
        <v>Normal</v>
      </c>
      <c r="P535" t="str">
        <f>IF(OR(N535&lt;'EDA Analysis'!$E$6,N535&gt;'EDA Analysis'!$E$7),"OUTLIER","Normal")</f>
        <v>Normal</v>
      </c>
    </row>
    <row r="536" spans="1:16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  <c r="O536" t="str">
        <f>IF(OR(F536&lt;'EDA Analysis'!$B$22,F536&gt;'EDA Analysis'!$B$23),"OUTLIER","Normal")</f>
        <v>Normal</v>
      </c>
      <c r="P536" t="str">
        <f>IF(OR(N536&lt;'EDA Analysis'!$E$6,N536&gt;'EDA Analysis'!$E$7),"OUTLIER","Normal")</f>
        <v>Normal</v>
      </c>
    </row>
    <row r="537" spans="1:16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  <c r="O537" t="str">
        <f>IF(OR(F537&lt;'EDA Analysis'!$B$22,F537&gt;'EDA Analysis'!$B$23),"OUTLIER","Normal")</f>
        <v>Normal</v>
      </c>
      <c r="P537" t="str">
        <f>IF(OR(N537&lt;'EDA Analysis'!$E$6,N537&gt;'EDA Analysis'!$E$7),"OUTLIER","Normal")</f>
        <v>Normal</v>
      </c>
    </row>
    <row r="538" spans="1:16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  <c r="O538" t="str">
        <f>IF(OR(F538&lt;'EDA Analysis'!$B$22,F538&gt;'EDA Analysis'!$B$23),"OUTLIER","Normal")</f>
        <v>Normal</v>
      </c>
      <c r="P538" t="str">
        <f>IF(OR(N538&lt;'EDA Analysis'!$E$6,N538&gt;'EDA Analysis'!$E$7),"OUTLIER","Normal")</f>
        <v>Normal</v>
      </c>
    </row>
    <row r="539" spans="1:16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  <c r="O539" t="str">
        <f>IF(OR(F539&lt;'EDA Analysis'!$B$22,F539&gt;'EDA Analysis'!$B$23),"OUTLIER","Normal")</f>
        <v>Normal</v>
      </c>
      <c r="P539" t="str">
        <f>IF(OR(N539&lt;'EDA Analysis'!$E$6,N539&gt;'EDA Analysis'!$E$7),"OUTLIER","Normal")</f>
        <v>Normal</v>
      </c>
    </row>
    <row r="540" spans="1:16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  <c r="O540" t="str">
        <f>IF(OR(F540&lt;'EDA Analysis'!$B$22,F540&gt;'EDA Analysis'!$B$23),"OUTLIER","Normal")</f>
        <v>Normal</v>
      </c>
      <c r="P540" t="str">
        <f>IF(OR(N540&lt;'EDA Analysis'!$E$6,N540&gt;'EDA Analysis'!$E$7),"OUTLIER","Normal")</f>
        <v>Normal</v>
      </c>
    </row>
    <row r="541" spans="1:16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  <c r="O541" t="str">
        <f>IF(OR(F541&lt;'EDA Analysis'!$B$22,F541&gt;'EDA Analysis'!$B$23),"OUTLIER","Normal")</f>
        <v>Normal</v>
      </c>
      <c r="P541" t="str">
        <f>IF(OR(N541&lt;'EDA Analysis'!$E$6,N541&gt;'EDA Analysis'!$E$7),"OUTLIER","Normal")</f>
        <v>Normal</v>
      </c>
    </row>
    <row r="542" spans="1:16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  <c r="O542" t="str">
        <f>IF(OR(F542&lt;'EDA Analysis'!$B$22,F542&gt;'EDA Analysis'!$B$23),"OUTLIER","Normal")</f>
        <v>Normal</v>
      </c>
      <c r="P542" t="str">
        <f>IF(OR(N542&lt;'EDA Analysis'!$E$6,N542&gt;'EDA Analysis'!$E$7),"OUTLIER","Normal")</f>
        <v>Normal</v>
      </c>
    </row>
    <row r="543" spans="1:16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  <c r="O543" t="str">
        <f>IF(OR(F543&lt;'EDA Analysis'!$B$22,F543&gt;'EDA Analysis'!$B$23),"OUTLIER","Normal")</f>
        <v>Normal</v>
      </c>
      <c r="P543" t="str">
        <f>IF(OR(N543&lt;'EDA Analysis'!$E$6,N543&gt;'EDA Analysis'!$E$7),"OUTLIER","Normal")</f>
        <v>Normal</v>
      </c>
    </row>
    <row r="544" spans="1:16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  <c r="O544" t="str">
        <f>IF(OR(F544&lt;'EDA Analysis'!$B$22,F544&gt;'EDA Analysis'!$B$23),"OUTLIER","Normal")</f>
        <v>Normal</v>
      </c>
      <c r="P544" t="str">
        <f>IF(OR(N544&lt;'EDA Analysis'!$E$6,N544&gt;'EDA Analysis'!$E$7),"OUTLIER","Normal")</f>
        <v>Normal</v>
      </c>
    </row>
    <row r="545" spans="1:16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  <c r="O545" t="str">
        <f>IF(OR(F545&lt;'EDA Analysis'!$B$22,F545&gt;'EDA Analysis'!$B$23),"OUTLIER","Normal")</f>
        <v>Normal</v>
      </c>
      <c r="P545" t="str">
        <f>IF(OR(N545&lt;'EDA Analysis'!$E$6,N545&gt;'EDA Analysis'!$E$7),"OUTLIER","Normal")</f>
        <v>Normal</v>
      </c>
    </row>
    <row r="546" spans="1:16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  <c r="O546" t="str">
        <f>IF(OR(F546&lt;'EDA Analysis'!$B$22,F546&gt;'EDA Analysis'!$B$23),"OUTLIER","Normal")</f>
        <v>Normal</v>
      </c>
      <c r="P546" t="str">
        <f>IF(OR(N546&lt;'EDA Analysis'!$E$6,N546&gt;'EDA Analysis'!$E$7),"OUTLIER","Normal")</f>
        <v>Normal</v>
      </c>
    </row>
    <row r="547" spans="1:16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  <c r="O547" t="str">
        <f>IF(OR(F547&lt;'EDA Analysis'!$B$22,F547&gt;'EDA Analysis'!$B$23),"OUTLIER","Normal")</f>
        <v>Normal</v>
      </c>
      <c r="P547" t="str">
        <f>IF(OR(N547&lt;'EDA Analysis'!$E$6,N547&gt;'EDA Analysis'!$E$7),"OUTLIER","Normal")</f>
        <v>Normal</v>
      </c>
    </row>
    <row r="548" spans="1:16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  <c r="O548" t="str">
        <f>IF(OR(F548&lt;'EDA Analysis'!$B$22,F548&gt;'EDA Analysis'!$B$23),"OUTLIER","Normal")</f>
        <v>Normal</v>
      </c>
      <c r="P548" t="str">
        <f>IF(OR(N548&lt;'EDA Analysis'!$E$6,N548&gt;'EDA Analysis'!$E$7),"OUTLIER","Normal")</f>
        <v>Normal</v>
      </c>
    </row>
    <row r="549" spans="1:16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  <c r="O549" t="str">
        <f>IF(OR(F549&lt;'EDA Analysis'!$B$22,F549&gt;'EDA Analysis'!$B$23),"OUTLIER","Normal")</f>
        <v>Normal</v>
      </c>
      <c r="P549" t="str">
        <f>IF(OR(N549&lt;'EDA Analysis'!$E$6,N549&gt;'EDA Analysis'!$E$7),"OUTLIER","Normal")</f>
        <v>Normal</v>
      </c>
    </row>
    <row r="550" spans="1:16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  <c r="O550" t="str">
        <f>IF(OR(F550&lt;'EDA Analysis'!$B$22,F550&gt;'EDA Analysis'!$B$23),"OUTLIER","Normal")</f>
        <v>Normal</v>
      </c>
      <c r="P550" t="str">
        <f>IF(OR(N550&lt;'EDA Analysis'!$E$6,N550&gt;'EDA Analysis'!$E$7),"OUTLIER","Normal")</f>
        <v>Normal</v>
      </c>
    </row>
    <row r="551" spans="1:16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  <c r="O551" t="str">
        <f>IF(OR(F551&lt;'EDA Analysis'!$B$22,F551&gt;'EDA Analysis'!$B$23),"OUTLIER","Normal")</f>
        <v>Normal</v>
      </c>
      <c r="P551" t="str">
        <f>IF(OR(N551&lt;'EDA Analysis'!$E$6,N551&gt;'EDA Analysis'!$E$7),"OUTLIER","Normal")</f>
        <v>Normal</v>
      </c>
    </row>
    <row r="552" spans="1:16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  <c r="O552" t="str">
        <f>IF(OR(F552&lt;'EDA Analysis'!$B$22,F552&gt;'EDA Analysis'!$B$23),"OUTLIER","Normal")</f>
        <v>Normal</v>
      </c>
      <c r="P552" t="str">
        <f>IF(OR(N552&lt;'EDA Analysis'!$E$6,N552&gt;'EDA Analysis'!$E$7),"OUTLIER","Normal")</f>
        <v>Normal</v>
      </c>
    </row>
    <row r="553" spans="1:16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  <c r="O553" t="str">
        <f>IF(OR(F553&lt;'EDA Analysis'!$B$22,F553&gt;'EDA Analysis'!$B$23),"OUTLIER","Normal")</f>
        <v>Normal</v>
      </c>
      <c r="P553" t="str">
        <f>IF(OR(N553&lt;'EDA Analysis'!$E$6,N553&gt;'EDA Analysis'!$E$7),"OUTLIER","Normal")</f>
        <v>Normal</v>
      </c>
    </row>
    <row r="554" spans="1:16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  <c r="O554" t="str">
        <f>IF(OR(F554&lt;'EDA Analysis'!$B$22,F554&gt;'EDA Analysis'!$B$23),"OUTLIER","Normal")</f>
        <v>Normal</v>
      </c>
      <c r="P554" t="str">
        <f>IF(OR(N554&lt;'EDA Analysis'!$E$6,N554&gt;'EDA Analysis'!$E$7),"OUTLIER","Normal")</f>
        <v>Normal</v>
      </c>
    </row>
    <row r="555" spans="1:16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  <c r="O555" t="str">
        <f>IF(OR(F555&lt;'EDA Analysis'!$B$22,F555&gt;'EDA Analysis'!$B$23),"OUTLIER","Normal")</f>
        <v>Normal</v>
      </c>
      <c r="P555" t="str">
        <f>IF(OR(N555&lt;'EDA Analysis'!$E$6,N555&gt;'EDA Analysis'!$E$7),"OUTLIER","Normal")</f>
        <v>Normal</v>
      </c>
    </row>
    <row r="556" spans="1:16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  <c r="O556" t="str">
        <f>IF(OR(F556&lt;'EDA Analysis'!$B$22,F556&gt;'EDA Analysis'!$B$23),"OUTLIER","Normal")</f>
        <v>Normal</v>
      </c>
      <c r="P556" t="str">
        <f>IF(OR(N556&lt;'EDA Analysis'!$E$6,N556&gt;'EDA Analysis'!$E$7),"OUTLIER","Normal")</f>
        <v>Normal</v>
      </c>
    </row>
    <row r="557" spans="1:16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  <c r="O557" t="str">
        <f>IF(OR(F557&lt;'EDA Analysis'!$B$22,F557&gt;'EDA Analysis'!$B$23),"OUTLIER","Normal")</f>
        <v>Normal</v>
      </c>
      <c r="P557" t="str">
        <f>IF(OR(N557&lt;'EDA Analysis'!$E$6,N557&gt;'EDA Analysis'!$E$7),"OUTLIER","Normal")</f>
        <v>Normal</v>
      </c>
    </row>
    <row r="558" spans="1:16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  <c r="O558" t="str">
        <f>IF(OR(F558&lt;'EDA Analysis'!$B$22,F558&gt;'EDA Analysis'!$B$23),"OUTLIER","Normal")</f>
        <v>Normal</v>
      </c>
      <c r="P558" t="str">
        <f>IF(OR(N558&lt;'EDA Analysis'!$E$6,N558&gt;'EDA Analysis'!$E$7),"OUTLIER","Normal")</f>
        <v>Normal</v>
      </c>
    </row>
    <row r="559" spans="1:16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  <c r="O559" t="str">
        <f>IF(OR(F559&lt;'EDA Analysis'!$B$22,F559&gt;'EDA Analysis'!$B$23),"OUTLIER","Normal")</f>
        <v>Normal</v>
      </c>
      <c r="P559" t="str">
        <f>IF(OR(N559&lt;'EDA Analysis'!$E$6,N559&gt;'EDA Analysis'!$E$7),"OUTLIER","Normal")</f>
        <v>Normal</v>
      </c>
    </row>
    <row r="560" spans="1:16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  <c r="O560" t="str">
        <f>IF(OR(F560&lt;'EDA Analysis'!$B$22,F560&gt;'EDA Analysis'!$B$23),"OUTLIER","Normal")</f>
        <v>Normal</v>
      </c>
      <c r="P560" t="str">
        <f>IF(OR(N560&lt;'EDA Analysis'!$E$6,N560&gt;'EDA Analysis'!$E$7),"OUTLIER","Normal")</f>
        <v>Normal</v>
      </c>
    </row>
    <row r="561" spans="1:16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  <c r="O561" t="str">
        <f>IF(OR(F561&lt;'EDA Analysis'!$B$22,F561&gt;'EDA Analysis'!$B$23),"OUTLIER","Normal")</f>
        <v>Normal</v>
      </c>
      <c r="P561" t="str">
        <f>IF(OR(N561&lt;'EDA Analysis'!$E$6,N561&gt;'EDA Analysis'!$E$7),"OUTLIER","Normal")</f>
        <v>Normal</v>
      </c>
    </row>
    <row r="562" spans="1:16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  <c r="O562" t="str">
        <f>IF(OR(F562&lt;'EDA Analysis'!$B$22,F562&gt;'EDA Analysis'!$B$23),"OUTLIER","Normal")</f>
        <v>Normal</v>
      </c>
      <c r="P562" t="str">
        <f>IF(OR(N562&lt;'EDA Analysis'!$E$6,N562&gt;'EDA Analysis'!$E$7),"OUTLIER","Normal")</f>
        <v>Normal</v>
      </c>
    </row>
    <row r="563" spans="1:16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  <c r="O563" t="str">
        <f>IF(OR(F563&lt;'EDA Analysis'!$B$22,F563&gt;'EDA Analysis'!$B$23),"OUTLIER","Normal")</f>
        <v>Normal</v>
      </c>
      <c r="P563" t="str">
        <f>IF(OR(N563&lt;'EDA Analysis'!$E$6,N563&gt;'EDA Analysis'!$E$7),"OUTLIER","Normal")</f>
        <v>Normal</v>
      </c>
    </row>
    <row r="564" spans="1:16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  <c r="O564" t="str">
        <f>IF(OR(F564&lt;'EDA Analysis'!$B$22,F564&gt;'EDA Analysis'!$B$23),"OUTLIER","Normal")</f>
        <v>Normal</v>
      </c>
      <c r="P564" t="str">
        <f>IF(OR(N564&lt;'EDA Analysis'!$E$6,N564&gt;'EDA Analysis'!$E$7),"OUTLIER","Normal")</f>
        <v>Normal</v>
      </c>
    </row>
    <row r="565" spans="1:16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  <c r="O565" t="str">
        <f>IF(OR(F565&lt;'EDA Analysis'!$B$22,F565&gt;'EDA Analysis'!$B$23),"OUTLIER","Normal")</f>
        <v>Normal</v>
      </c>
      <c r="P565" t="str">
        <f>IF(OR(N565&lt;'EDA Analysis'!$E$6,N565&gt;'EDA Analysis'!$E$7),"OUTLIER","Normal")</f>
        <v>Normal</v>
      </c>
    </row>
    <row r="566" spans="1:16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  <c r="O566" t="str">
        <f>IF(OR(F566&lt;'EDA Analysis'!$B$22,F566&gt;'EDA Analysis'!$B$23),"OUTLIER","Normal")</f>
        <v>Normal</v>
      </c>
      <c r="P566" t="str">
        <f>IF(OR(N566&lt;'EDA Analysis'!$E$6,N566&gt;'EDA Analysis'!$E$7),"OUTLIER","Normal")</f>
        <v>Normal</v>
      </c>
    </row>
    <row r="567" spans="1:16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  <c r="O567" t="str">
        <f>IF(OR(F567&lt;'EDA Analysis'!$B$22,F567&gt;'EDA Analysis'!$B$23),"OUTLIER","Normal")</f>
        <v>Normal</v>
      </c>
      <c r="P567" t="str">
        <f>IF(OR(N567&lt;'EDA Analysis'!$E$6,N567&gt;'EDA Analysis'!$E$7),"OUTLIER","Normal")</f>
        <v>Normal</v>
      </c>
    </row>
    <row r="568" spans="1:16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  <c r="O568" t="str">
        <f>IF(OR(F568&lt;'EDA Analysis'!$B$22,F568&gt;'EDA Analysis'!$B$23),"OUTLIER","Normal")</f>
        <v>Normal</v>
      </c>
      <c r="P568" t="str">
        <f>IF(OR(N568&lt;'EDA Analysis'!$E$6,N568&gt;'EDA Analysis'!$E$7),"OUTLIER","Normal")</f>
        <v>Normal</v>
      </c>
    </row>
    <row r="569" spans="1:16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  <c r="O569" t="str">
        <f>IF(OR(F569&lt;'EDA Analysis'!$B$22,F569&gt;'EDA Analysis'!$B$23),"OUTLIER","Normal")</f>
        <v>Normal</v>
      </c>
      <c r="P569" t="str">
        <f>IF(OR(N569&lt;'EDA Analysis'!$E$6,N569&gt;'EDA Analysis'!$E$7),"OUTLIER","Normal")</f>
        <v>Normal</v>
      </c>
    </row>
    <row r="570" spans="1:16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  <c r="O570" t="str">
        <f>IF(OR(F570&lt;'EDA Analysis'!$B$22,F570&gt;'EDA Analysis'!$B$23),"OUTLIER","Normal")</f>
        <v>Normal</v>
      </c>
      <c r="P570" t="str">
        <f>IF(OR(N570&lt;'EDA Analysis'!$E$6,N570&gt;'EDA Analysis'!$E$7),"OUTLIER","Normal")</f>
        <v>Normal</v>
      </c>
    </row>
    <row r="571" spans="1:16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  <c r="O571" t="str">
        <f>IF(OR(F571&lt;'EDA Analysis'!$B$22,F571&gt;'EDA Analysis'!$B$23),"OUTLIER","Normal")</f>
        <v>Normal</v>
      </c>
      <c r="P571" t="str">
        <f>IF(OR(N571&lt;'EDA Analysis'!$E$6,N571&gt;'EDA Analysis'!$E$7),"OUTLIER","Normal")</f>
        <v>Normal</v>
      </c>
    </row>
    <row r="572" spans="1:16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  <c r="O572" t="str">
        <f>IF(OR(F572&lt;'EDA Analysis'!$B$22,F572&gt;'EDA Analysis'!$B$23),"OUTLIER","Normal")</f>
        <v>Normal</v>
      </c>
      <c r="P572" t="str">
        <f>IF(OR(N572&lt;'EDA Analysis'!$E$6,N572&gt;'EDA Analysis'!$E$7),"OUTLIER","Normal")</f>
        <v>Normal</v>
      </c>
    </row>
    <row r="573" spans="1:16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  <c r="O573" t="str">
        <f>IF(OR(F573&lt;'EDA Analysis'!$B$22,F573&gt;'EDA Analysis'!$B$23),"OUTLIER","Normal")</f>
        <v>Normal</v>
      </c>
      <c r="P573" t="str">
        <f>IF(OR(N573&lt;'EDA Analysis'!$E$6,N573&gt;'EDA Analysis'!$E$7),"OUTLIER","Normal")</f>
        <v>Normal</v>
      </c>
    </row>
    <row r="574" spans="1:16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  <c r="O574" t="str">
        <f>IF(OR(F574&lt;'EDA Analysis'!$B$22,F574&gt;'EDA Analysis'!$B$23),"OUTLIER","Normal")</f>
        <v>Normal</v>
      </c>
      <c r="P574" t="str">
        <f>IF(OR(N574&lt;'EDA Analysis'!$E$6,N574&gt;'EDA Analysis'!$E$7),"OUTLIER","Normal")</f>
        <v>Normal</v>
      </c>
    </row>
    <row r="575" spans="1:16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  <c r="O575" t="str">
        <f>IF(OR(F575&lt;'EDA Analysis'!$B$22,F575&gt;'EDA Analysis'!$B$23),"OUTLIER","Normal")</f>
        <v>Normal</v>
      </c>
      <c r="P575" t="str">
        <f>IF(OR(N575&lt;'EDA Analysis'!$E$6,N575&gt;'EDA Analysis'!$E$7),"OUTLIER","Normal")</f>
        <v>Normal</v>
      </c>
    </row>
    <row r="576" spans="1:16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  <c r="O576" t="str">
        <f>IF(OR(F576&lt;'EDA Analysis'!$B$22,F576&gt;'EDA Analysis'!$B$23),"OUTLIER","Normal")</f>
        <v>Normal</v>
      </c>
      <c r="P576" t="str">
        <f>IF(OR(N576&lt;'EDA Analysis'!$E$6,N576&gt;'EDA Analysis'!$E$7),"OUTLIER","Normal")</f>
        <v>Normal</v>
      </c>
    </row>
    <row r="577" spans="1:16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  <c r="O577" t="str">
        <f>IF(OR(F577&lt;'EDA Analysis'!$B$22,F577&gt;'EDA Analysis'!$B$23),"OUTLIER","Normal")</f>
        <v>Normal</v>
      </c>
      <c r="P577" t="str">
        <f>IF(OR(N577&lt;'EDA Analysis'!$E$6,N577&gt;'EDA Analysis'!$E$7),"OUTLIER","Normal")</f>
        <v>Normal</v>
      </c>
    </row>
    <row r="578" spans="1:16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  <c r="O578" t="str">
        <f>IF(OR(F578&lt;'EDA Analysis'!$B$22,F578&gt;'EDA Analysis'!$B$23),"OUTLIER","Normal")</f>
        <v>Normal</v>
      </c>
      <c r="P578" t="str">
        <f>IF(OR(N578&lt;'EDA Analysis'!$E$6,N578&gt;'EDA Analysis'!$E$7),"OUTLIER","Normal")</f>
        <v>Normal</v>
      </c>
    </row>
    <row r="579" spans="1:16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  <c r="O579" t="str">
        <f>IF(OR(F579&lt;'EDA Analysis'!$B$22,F579&gt;'EDA Analysis'!$B$23),"OUTLIER","Normal")</f>
        <v>Normal</v>
      </c>
      <c r="P579" t="str">
        <f>IF(OR(N579&lt;'EDA Analysis'!$E$6,N579&gt;'EDA Analysis'!$E$7),"OUTLIER","Normal")</f>
        <v>Normal</v>
      </c>
    </row>
    <row r="580" spans="1:16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  <c r="O580" t="str">
        <f>IF(OR(F580&lt;'EDA Analysis'!$B$22,F580&gt;'EDA Analysis'!$B$23),"OUTLIER","Normal")</f>
        <v>Normal</v>
      </c>
      <c r="P580" t="str">
        <f>IF(OR(N580&lt;'EDA Analysis'!$E$6,N580&gt;'EDA Analysis'!$E$7),"OUTLIER","Normal")</f>
        <v>Normal</v>
      </c>
    </row>
    <row r="581" spans="1:16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  <c r="O581" t="str">
        <f>IF(OR(F581&lt;'EDA Analysis'!$B$22,F581&gt;'EDA Analysis'!$B$23),"OUTLIER","Normal")</f>
        <v>Normal</v>
      </c>
      <c r="P581" t="str">
        <f>IF(OR(N581&lt;'EDA Analysis'!$E$6,N581&gt;'EDA Analysis'!$E$7),"OUTLIER","Normal")</f>
        <v>Normal</v>
      </c>
    </row>
    <row r="582" spans="1:16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  <c r="O582" t="str">
        <f>IF(OR(F582&lt;'EDA Analysis'!$B$22,F582&gt;'EDA Analysis'!$B$23),"OUTLIER","Normal")</f>
        <v>Normal</v>
      </c>
      <c r="P582" t="str">
        <f>IF(OR(N582&lt;'EDA Analysis'!$E$6,N582&gt;'EDA Analysis'!$E$7),"OUTLIER","Normal")</f>
        <v>Normal</v>
      </c>
    </row>
    <row r="583" spans="1:16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  <c r="O583" t="str">
        <f>IF(OR(F583&lt;'EDA Analysis'!$B$22,F583&gt;'EDA Analysis'!$B$23),"OUTLIER","Normal")</f>
        <v>Normal</v>
      </c>
      <c r="P583" t="str">
        <f>IF(OR(N583&lt;'EDA Analysis'!$E$6,N583&gt;'EDA Analysis'!$E$7),"OUTLIER","Normal")</f>
        <v>Normal</v>
      </c>
    </row>
    <row r="584" spans="1:16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  <c r="O584" t="str">
        <f>IF(OR(F584&lt;'EDA Analysis'!$B$22,F584&gt;'EDA Analysis'!$B$23),"OUTLIER","Normal")</f>
        <v>Normal</v>
      </c>
      <c r="P584" t="str">
        <f>IF(OR(N584&lt;'EDA Analysis'!$E$6,N584&gt;'EDA Analysis'!$E$7),"OUTLIER","Normal")</f>
        <v>Normal</v>
      </c>
    </row>
    <row r="585" spans="1:16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  <c r="O585" t="str">
        <f>IF(OR(F585&lt;'EDA Analysis'!$B$22,F585&gt;'EDA Analysis'!$B$23),"OUTLIER","Normal")</f>
        <v>Normal</v>
      </c>
      <c r="P585" t="str">
        <f>IF(OR(N585&lt;'EDA Analysis'!$E$6,N585&gt;'EDA Analysis'!$E$7),"OUTLIER","Normal")</f>
        <v>Normal</v>
      </c>
    </row>
    <row r="586" spans="1:16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  <c r="O586" t="str">
        <f>IF(OR(F586&lt;'EDA Analysis'!$B$22,F586&gt;'EDA Analysis'!$B$23),"OUTLIER","Normal")</f>
        <v>Normal</v>
      </c>
      <c r="P586" t="str">
        <f>IF(OR(N586&lt;'EDA Analysis'!$E$6,N586&gt;'EDA Analysis'!$E$7),"OUTLIER","Normal")</f>
        <v>Normal</v>
      </c>
    </row>
    <row r="587" spans="1:16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  <c r="O587" t="str">
        <f>IF(OR(F587&lt;'EDA Analysis'!$B$22,F587&gt;'EDA Analysis'!$B$23),"OUTLIER","Normal")</f>
        <v>Normal</v>
      </c>
      <c r="P587" t="str">
        <f>IF(OR(N587&lt;'EDA Analysis'!$E$6,N587&gt;'EDA Analysis'!$E$7),"OUTLIER","Normal")</f>
        <v>Normal</v>
      </c>
    </row>
    <row r="588" spans="1:16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  <c r="O588" t="str">
        <f>IF(OR(F588&lt;'EDA Analysis'!$B$22,F588&gt;'EDA Analysis'!$B$23),"OUTLIER","Normal")</f>
        <v>Normal</v>
      </c>
      <c r="P588" t="str">
        <f>IF(OR(N588&lt;'EDA Analysis'!$E$6,N588&gt;'EDA Analysis'!$E$7),"OUTLIER","Normal")</f>
        <v>Normal</v>
      </c>
    </row>
    <row r="589" spans="1:16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  <c r="O589" t="str">
        <f>IF(OR(F589&lt;'EDA Analysis'!$B$22,F589&gt;'EDA Analysis'!$B$23),"OUTLIER","Normal")</f>
        <v>Normal</v>
      </c>
      <c r="P589" t="str">
        <f>IF(OR(N589&lt;'EDA Analysis'!$E$6,N589&gt;'EDA Analysis'!$E$7),"OUTLIER","Normal")</f>
        <v>Normal</v>
      </c>
    </row>
    <row r="590" spans="1:16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  <c r="O590" t="str">
        <f>IF(OR(F590&lt;'EDA Analysis'!$B$22,F590&gt;'EDA Analysis'!$B$23),"OUTLIER","Normal")</f>
        <v>Normal</v>
      </c>
      <c r="P590" t="str">
        <f>IF(OR(N590&lt;'EDA Analysis'!$E$6,N590&gt;'EDA Analysis'!$E$7),"OUTLIER","Normal")</f>
        <v>Normal</v>
      </c>
    </row>
    <row r="591" spans="1:16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  <c r="O591" t="str">
        <f>IF(OR(F591&lt;'EDA Analysis'!$B$22,F591&gt;'EDA Analysis'!$B$23),"OUTLIER","Normal")</f>
        <v>Normal</v>
      </c>
      <c r="P591" t="str">
        <f>IF(OR(N591&lt;'EDA Analysis'!$E$6,N591&gt;'EDA Analysis'!$E$7),"OUTLIER","Normal")</f>
        <v>Normal</v>
      </c>
    </row>
    <row r="592" spans="1:16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  <c r="O592" t="str">
        <f>IF(OR(F592&lt;'EDA Analysis'!$B$22,F592&gt;'EDA Analysis'!$B$23),"OUTLIER","Normal")</f>
        <v>Normal</v>
      </c>
      <c r="P592" t="str">
        <f>IF(OR(N592&lt;'EDA Analysis'!$E$6,N592&gt;'EDA Analysis'!$E$7),"OUTLIER","Normal")</f>
        <v>Normal</v>
      </c>
    </row>
    <row r="593" spans="1:16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  <c r="O593" t="str">
        <f>IF(OR(F593&lt;'EDA Analysis'!$B$22,F593&gt;'EDA Analysis'!$B$23),"OUTLIER","Normal")</f>
        <v>Normal</v>
      </c>
      <c r="P593" t="str">
        <f>IF(OR(N593&lt;'EDA Analysis'!$E$6,N593&gt;'EDA Analysis'!$E$7),"OUTLIER","Normal")</f>
        <v>Normal</v>
      </c>
    </row>
    <row r="594" spans="1:16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  <c r="O594" t="str">
        <f>IF(OR(F594&lt;'EDA Analysis'!$B$22,F594&gt;'EDA Analysis'!$B$23),"OUTLIER","Normal")</f>
        <v>Normal</v>
      </c>
      <c r="P594" t="str">
        <f>IF(OR(N594&lt;'EDA Analysis'!$E$6,N594&gt;'EDA Analysis'!$E$7),"OUTLIER","Normal")</f>
        <v>Normal</v>
      </c>
    </row>
    <row r="595" spans="1:16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  <c r="O595" t="str">
        <f>IF(OR(F595&lt;'EDA Analysis'!$B$22,F595&gt;'EDA Analysis'!$B$23),"OUTLIER","Normal")</f>
        <v>Normal</v>
      </c>
      <c r="P595" t="str">
        <f>IF(OR(N595&lt;'EDA Analysis'!$E$6,N595&gt;'EDA Analysis'!$E$7),"OUTLIER","Normal")</f>
        <v>Normal</v>
      </c>
    </row>
    <row r="596" spans="1:16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  <c r="O596" t="str">
        <f>IF(OR(F596&lt;'EDA Analysis'!$B$22,F596&gt;'EDA Analysis'!$B$23),"OUTLIER","Normal")</f>
        <v>Normal</v>
      </c>
      <c r="P596" t="str">
        <f>IF(OR(N596&lt;'EDA Analysis'!$E$6,N596&gt;'EDA Analysis'!$E$7),"OUTLIER","Normal")</f>
        <v>Normal</v>
      </c>
    </row>
    <row r="597" spans="1:16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  <c r="O597" t="str">
        <f>IF(OR(F597&lt;'EDA Analysis'!$B$22,F597&gt;'EDA Analysis'!$B$23),"OUTLIER","Normal")</f>
        <v>Normal</v>
      </c>
      <c r="P597" t="str">
        <f>IF(OR(N597&lt;'EDA Analysis'!$E$6,N597&gt;'EDA Analysis'!$E$7),"OUTLIER","Normal")</f>
        <v>Normal</v>
      </c>
    </row>
    <row r="598" spans="1:16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  <c r="O598" t="str">
        <f>IF(OR(F598&lt;'EDA Analysis'!$B$22,F598&gt;'EDA Analysis'!$B$23),"OUTLIER","Normal")</f>
        <v>Normal</v>
      </c>
      <c r="P598" t="str">
        <f>IF(OR(N598&lt;'EDA Analysis'!$E$6,N598&gt;'EDA Analysis'!$E$7),"OUTLIER","Normal")</f>
        <v>Normal</v>
      </c>
    </row>
    <row r="599" spans="1:16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  <c r="O599" t="str">
        <f>IF(OR(F599&lt;'EDA Analysis'!$B$22,F599&gt;'EDA Analysis'!$B$23),"OUTLIER","Normal")</f>
        <v>Normal</v>
      </c>
      <c r="P599" t="str">
        <f>IF(OR(N599&lt;'EDA Analysis'!$E$6,N599&gt;'EDA Analysis'!$E$7),"OUTLIER","Normal")</f>
        <v>Normal</v>
      </c>
    </row>
    <row r="600" spans="1:16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  <c r="O600" t="str">
        <f>IF(OR(F600&lt;'EDA Analysis'!$B$22,F600&gt;'EDA Analysis'!$B$23),"OUTLIER","Normal")</f>
        <v>Normal</v>
      </c>
      <c r="P600" t="str">
        <f>IF(OR(N600&lt;'EDA Analysis'!$E$6,N600&gt;'EDA Analysis'!$E$7),"OUTLIER","Normal")</f>
        <v>Normal</v>
      </c>
    </row>
    <row r="601" spans="1:16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  <c r="O601" t="str">
        <f>IF(OR(F601&lt;'EDA Analysis'!$B$22,F601&gt;'EDA Analysis'!$B$23),"OUTLIER","Normal")</f>
        <v>Normal</v>
      </c>
      <c r="P601" t="str">
        <f>IF(OR(N601&lt;'EDA Analysis'!$E$6,N601&gt;'EDA Analysis'!$E$7),"OUTLIER","Normal")</f>
        <v>Normal</v>
      </c>
    </row>
    <row r="602" spans="1:16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  <c r="O602" t="str">
        <f>IF(OR(F602&lt;'EDA Analysis'!$B$22,F602&gt;'EDA Analysis'!$B$23),"OUTLIER","Normal")</f>
        <v>Normal</v>
      </c>
      <c r="P602" t="str">
        <f>IF(OR(N602&lt;'EDA Analysis'!$E$6,N602&gt;'EDA Analysis'!$E$7),"OUTLIER","Normal")</f>
        <v>Normal</v>
      </c>
    </row>
    <row r="603" spans="1:16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  <c r="O603" t="str">
        <f>IF(OR(F603&lt;'EDA Analysis'!$B$22,F603&gt;'EDA Analysis'!$B$23),"OUTLIER","Normal")</f>
        <v>Normal</v>
      </c>
      <c r="P603" t="str">
        <f>IF(OR(N603&lt;'EDA Analysis'!$E$6,N603&gt;'EDA Analysis'!$E$7),"OUTLIER","Normal")</f>
        <v>Normal</v>
      </c>
    </row>
    <row r="604" spans="1:16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  <c r="O604" t="str">
        <f>IF(OR(F604&lt;'EDA Analysis'!$B$22,F604&gt;'EDA Analysis'!$B$23),"OUTLIER","Normal")</f>
        <v>Normal</v>
      </c>
      <c r="P604" t="str">
        <f>IF(OR(N604&lt;'EDA Analysis'!$E$6,N604&gt;'EDA Analysis'!$E$7),"OUTLIER","Normal")</f>
        <v>Normal</v>
      </c>
    </row>
    <row r="605" spans="1:16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  <c r="O605" t="str">
        <f>IF(OR(F605&lt;'EDA Analysis'!$B$22,F605&gt;'EDA Analysis'!$B$23),"OUTLIER","Normal")</f>
        <v>Normal</v>
      </c>
      <c r="P605" t="str">
        <f>IF(OR(N605&lt;'EDA Analysis'!$E$6,N605&gt;'EDA Analysis'!$E$7),"OUTLIER","Normal")</f>
        <v>Normal</v>
      </c>
    </row>
    <row r="606" spans="1:16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  <c r="O606" t="str">
        <f>IF(OR(F606&lt;'EDA Analysis'!$B$22,F606&gt;'EDA Analysis'!$B$23),"OUTLIER","Normal")</f>
        <v>Normal</v>
      </c>
      <c r="P606" t="str">
        <f>IF(OR(N606&lt;'EDA Analysis'!$E$6,N606&gt;'EDA Analysis'!$E$7),"OUTLIER","Normal")</f>
        <v>Normal</v>
      </c>
    </row>
    <row r="607" spans="1:16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  <c r="O607" t="str">
        <f>IF(OR(F607&lt;'EDA Analysis'!$B$22,F607&gt;'EDA Analysis'!$B$23),"OUTLIER","Normal")</f>
        <v>Normal</v>
      </c>
      <c r="P607" t="str">
        <f>IF(OR(N607&lt;'EDA Analysis'!$E$6,N607&gt;'EDA Analysis'!$E$7),"OUTLIER","Normal")</f>
        <v>Normal</v>
      </c>
    </row>
    <row r="608" spans="1:16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  <c r="O608" t="str">
        <f>IF(OR(F608&lt;'EDA Analysis'!$B$22,F608&gt;'EDA Analysis'!$B$23),"OUTLIER","Normal")</f>
        <v>Normal</v>
      </c>
      <c r="P608" t="str">
        <f>IF(OR(N608&lt;'EDA Analysis'!$E$6,N608&gt;'EDA Analysis'!$E$7),"OUTLIER","Normal")</f>
        <v>Normal</v>
      </c>
    </row>
    <row r="609" spans="1:16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  <c r="O609" t="str">
        <f>IF(OR(F609&lt;'EDA Analysis'!$B$22,F609&gt;'EDA Analysis'!$B$23),"OUTLIER","Normal")</f>
        <v>Normal</v>
      </c>
      <c r="P609" t="str">
        <f>IF(OR(N609&lt;'EDA Analysis'!$E$6,N609&gt;'EDA Analysis'!$E$7),"OUTLIER","Normal")</f>
        <v>Normal</v>
      </c>
    </row>
    <row r="610" spans="1:16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  <c r="O610" t="str">
        <f>IF(OR(F610&lt;'EDA Analysis'!$B$22,F610&gt;'EDA Analysis'!$B$23),"OUTLIER","Normal")</f>
        <v>Normal</v>
      </c>
      <c r="P610" t="str">
        <f>IF(OR(N610&lt;'EDA Analysis'!$E$6,N610&gt;'EDA Analysis'!$E$7),"OUTLIER","Normal")</f>
        <v>Normal</v>
      </c>
    </row>
    <row r="611" spans="1:16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  <c r="O611" t="str">
        <f>IF(OR(F611&lt;'EDA Analysis'!$B$22,F611&gt;'EDA Analysis'!$B$23),"OUTLIER","Normal")</f>
        <v>Normal</v>
      </c>
      <c r="P611" t="str">
        <f>IF(OR(N611&lt;'EDA Analysis'!$E$6,N611&gt;'EDA Analysis'!$E$7),"OUTLIER","Normal")</f>
        <v>Normal</v>
      </c>
    </row>
    <row r="612" spans="1:16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  <c r="O612" t="str">
        <f>IF(OR(F612&lt;'EDA Analysis'!$B$22,F612&gt;'EDA Analysis'!$B$23),"OUTLIER","Normal")</f>
        <v>Normal</v>
      </c>
      <c r="P612" t="str">
        <f>IF(OR(N612&lt;'EDA Analysis'!$E$6,N612&gt;'EDA Analysis'!$E$7),"OUTLIER","Normal")</f>
        <v>Normal</v>
      </c>
    </row>
    <row r="613" spans="1:16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  <c r="O613" t="str">
        <f>IF(OR(F613&lt;'EDA Analysis'!$B$22,F613&gt;'EDA Analysis'!$B$23),"OUTLIER","Normal")</f>
        <v>Normal</v>
      </c>
      <c r="P613" t="str">
        <f>IF(OR(N613&lt;'EDA Analysis'!$E$6,N613&gt;'EDA Analysis'!$E$7),"OUTLIER","Normal")</f>
        <v>Normal</v>
      </c>
    </row>
    <row r="614" spans="1:16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  <c r="O614" t="str">
        <f>IF(OR(F614&lt;'EDA Analysis'!$B$22,F614&gt;'EDA Analysis'!$B$23),"OUTLIER","Normal")</f>
        <v>Normal</v>
      </c>
      <c r="P614" t="str">
        <f>IF(OR(N614&lt;'EDA Analysis'!$E$6,N614&gt;'EDA Analysis'!$E$7),"OUTLIER","Normal")</f>
        <v>Normal</v>
      </c>
    </row>
    <row r="615" spans="1:16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  <c r="O615" t="str">
        <f>IF(OR(F615&lt;'EDA Analysis'!$B$22,F615&gt;'EDA Analysis'!$B$23),"OUTLIER","Normal")</f>
        <v>Normal</v>
      </c>
      <c r="P615" t="str">
        <f>IF(OR(N615&lt;'EDA Analysis'!$E$6,N615&gt;'EDA Analysis'!$E$7),"OUTLIER","Normal")</f>
        <v>Normal</v>
      </c>
    </row>
    <row r="616" spans="1:16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  <c r="O616" t="str">
        <f>IF(OR(F616&lt;'EDA Analysis'!$B$22,F616&gt;'EDA Analysis'!$B$23),"OUTLIER","Normal")</f>
        <v>Normal</v>
      </c>
      <c r="P616" t="str">
        <f>IF(OR(N616&lt;'EDA Analysis'!$E$6,N616&gt;'EDA Analysis'!$E$7),"OUTLIER","Normal")</f>
        <v>Normal</v>
      </c>
    </row>
    <row r="617" spans="1:16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  <c r="O617" t="str">
        <f>IF(OR(F617&lt;'EDA Analysis'!$B$22,F617&gt;'EDA Analysis'!$B$23),"OUTLIER","Normal")</f>
        <v>Normal</v>
      </c>
      <c r="P617" t="str">
        <f>IF(OR(N617&lt;'EDA Analysis'!$E$6,N617&gt;'EDA Analysis'!$E$7),"OUTLIER","Normal")</f>
        <v>Normal</v>
      </c>
    </row>
    <row r="618" spans="1:16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  <c r="O618" t="str">
        <f>IF(OR(F618&lt;'EDA Analysis'!$B$22,F618&gt;'EDA Analysis'!$B$23),"OUTLIER","Normal")</f>
        <v>Normal</v>
      </c>
      <c r="P618" t="str">
        <f>IF(OR(N618&lt;'EDA Analysis'!$E$6,N618&gt;'EDA Analysis'!$E$7),"OUTLIER","Normal")</f>
        <v>Normal</v>
      </c>
    </row>
    <row r="619" spans="1:16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  <c r="O619" t="str">
        <f>IF(OR(F619&lt;'EDA Analysis'!$B$22,F619&gt;'EDA Analysis'!$B$23),"OUTLIER","Normal")</f>
        <v>Normal</v>
      </c>
      <c r="P619" t="str">
        <f>IF(OR(N619&lt;'EDA Analysis'!$E$6,N619&gt;'EDA Analysis'!$E$7),"OUTLIER","Normal")</f>
        <v>Normal</v>
      </c>
    </row>
    <row r="620" spans="1:16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  <c r="O620" t="str">
        <f>IF(OR(F620&lt;'EDA Analysis'!$B$22,F620&gt;'EDA Analysis'!$B$23),"OUTLIER","Normal")</f>
        <v>Normal</v>
      </c>
      <c r="P620" t="str">
        <f>IF(OR(N620&lt;'EDA Analysis'!$E$6,N620&gt;'EDA Analysis'!$E$7),"OUTLIER","Normal")</f>
        <v>Normal</v>
      </c>
    </row>
    <row r="621" spans="1:16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  <c r="O621" t="str">
        <f>IF(OR(F621&lt;'EDA Analysis'!$B$22,F621&gt;'EDA Analysis'!$B$23),"OUTLIER","Normal")</f>
        <v>Normal</v>
      </c>
      <c r="P621" t="str">
        <f>IF(OR(N621&lt;'EDA Analysis'!$E$6,N621&gt;'EDA Analysis'!$E$7),"OUTLIER","Normal")</f>
        <v>Normal</v>
      </c>
    </row>
    <row r="622" spans="1:16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  <c r="O622" t="str">
        <f>IF(OR(F622&lt;'EDA Analysis'!$B$22,F622&gt;'EDA Analysis'!$B$23),"OUTLIER","Normal")</f>
        <v>Normal</v>
      </c>
      <c r="P622" t="str">
        <f>IF(OR(N622&lt;'EDA Analysis'!$E$6,N622&gt;'EDA Analysis'!$E$7),"OUTLIER","Normal")</f>
        <v>Normal</v>
      </c>
    </row>
    <row r="623" spans="1:16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  <c r="O623" t="str">
        <f>IF(OR(F623&lt;'EDA Analysis'!$B$22,F623&gt;'EDA Analysis'!$B$23),"OUTLIER","Normal")</f>
        <v>Normal</v>
      </c>
      <c r="P623" t="str">
        <f>IF(OR(N623&lt;'EDA Analysis'!$E$6,N623&gt;'EDA Analysis'!$E$7),"OUTLIER","Normal")</f>
        <v>Normal</v>
      </c>
    </row>
    <row r="624" spans="1:16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  <c r="O624" t="str">
        <f>IF(OR(F624&lt;'EDA Analysis'!$B$22,F624&gt;'EDA Analysis'!$B$23),"OUTLIER","Normal")</f>
        <v>Normal</v>
      </c>
      <c r="P624" t="str">
        <f>IF(OR(N624&lt;'EDA Analysis'!$E$6,N624&gt;'EDA Analysis'!$E$7),"OUTLIER","Normal")</f>
        <v>Normal</v>
      </c>
    </row>
    <row r="625" spans="1:16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  <c r="O625" t="str">
        <f>IF(OR(F625&lt;'EDA Analysis'!$B$22,F625&gt;'EDA Analysis'!$B$23),"OUTLIER","Normal")</f>
        <v>Normal</v>
      </c>
      <c r="P625" t="str">
        <f>IF(OR(N625&lt;'EDA Analysis'!$E$6,N625&gt;'EDA Analysis'!$E$7),"OUTLIER","Normal")</f>
        <v>Normal</v>
      </c>
    </row>
    <row r="626" spans="1:16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  <c r="O626" t="str">
        <f>IF(OR(F626&lt;'EDA Analysis'!$B$22,F626&gt;'EDA Analysis'!$B$23),"OUTLIER","Normal")</f>
        <v>Normal</v>
      </c>
      <c r="P626" t="str">
        <f>IF(OR(N626&lt;'EDA Analysis'!$E$6,N626&gt;'EDA Analysis'!$E$7),"OUTLIER","Normal")</f>
        <v>Normal</v>
      </c>
    </row>
    <row r="627" spans="1:16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  <c r="O627" t="str">
        <f>IF(OR(F627&lt;'EDA Analysis'!$B$22,F627&gt;'EDA Analysis'!$B$23),"OUTLIER","Normal")</f>
        <v>Normal</v>
      </c>
      <c r="P627" t="str">
        <f>IF(OR(N627&lt;'EDA Analysis'!$E$6,N627&gt;'EDA Analysis'!$E$7),"OUTLIER","Normal")</f>
        <v>Normal</v>
      </c>
    </row>
    <row r="628" spans="1:16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  <c r="O628" t="str">
        <f>IF(OR(F628&lt;'EDA Analysis'!$B$22,F628&gt;'EDA Analysis'!$B$23),"OUTLIER","Normal")</f>
        <v>Normal</v>
      </c>
      <c r="P628" t="str">
        <f>IF(OR(N628&lt;'EDA Analysis'!$E$6,N628&gt;'EDA Analysis'!$E$7),"OUTLIER","Normal")</f>
        <v>Normal</v>
      </c>
    </row>
    <row r="629" spans="1:16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  <c r="O629" t="str">
        <f>IF(OR(F629&lt;'EDA Analysis'!$B$22,F629&gt;'EDA Analysis'!$B$23),"OUTLIER","Normal")</f>
        <v>Normal</v>
      </c>
      <c r="P629" t="str">
        <f>IF(OR(N629&lt;'EDA Analysis'!$E$6,N629&gt;'EDA Analysis'!$E$7),"OUTLIER","Normal")</f>
        <v>Normal</v>
      </c>
    </row>
    <row r="630" spans="1:16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  <c r="O630" t="str">
        <f>IF(OR(F630&lt;'EDA Analysis'!$B$22,F630&gt;'EDA Analysis'!$B$23),"OUTLIER","Normal")</f>
        <v>Normal</v>
      </c>
      <c r="P630" t="str">
        <f>IF(OR(N630&lt;'EDA Analysis'!$E$6,N630&gt;'EDA Analysis'!$E$7),"OUTLIER","Normal")</f>
        <v>Normal</v>
      </c>
    </row>
    <row r="631" spans="1:16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  <c r="O631" t="str">
        <f>IF(OR(F631&lt;'EDA Analysis'!$B$22,F631&gt;'EDA Analysis'!$B$23),"OUTLIER","Normal")</f>
        <v>Normal</v>
      </c>
      <c r="P631" t="str">
        <f>IF(OR(N631&lt;'EDA Analysis'!$E$6,N631&gt;'EDA Analysis'!$E$7),"OUTLIER","Normal")</f>
        <v>Normal</v>
      </c>
    </row>
    <row r="632" spans="1:16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  <c r="O632" t="str">
        <f>IF(OR(F632&lt;'EDA Analysis'!$B$22,F632&gt;'EDA Analysis'!$B$23),"OUTLIER","Normal")</f>
        <v>Normal</v>
      </c>
      <c r="P632" t="str">
        <f>IF(OR(N632&lt;'EDA Analysis'!$E$6,N632&gt;'EDA Analysis'!$E$7),"OUTLIER","Normal")</f>
        <v>Normal</v>
      </c>
    </row>
    <row r="633" spans="1:16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  <c r="O633" t="str">
        <f>IF(OR(F633&lt;'EDA Analysis'!$B$22,F633&gt;'EDA Analysis'!$B$23),"OUTLIER","Normal")</f>
        <v>Normal</v>
      </c>
      <c r="P633" t="str">
        <f>IF(OR(N633&lt;'EDA Analysis'!$E$6,N633&gt;'EDA Analysis'!$E$7),"OUTLIER","Normal")</f>
        <v>Normal</v>
      </c>
    </row>
    <row r="634" spans="1:16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  <c r="O634" t="str">
        <f>IF(OR(F634&lt;'EDA Analysis'!$B$22,F634&gt;'EDA Analysis'!$B$23),"OUTLIER","Normal")</f>
        <v>Normal</v>
      </c>
      <c r="P634" t="str">
        <f>IF(OR(N634&lt;'EDA Analysis'!$E$6,N634&gt;'EDA Analysis'!$E$7),"OUTLIER","Normal")</f>
        <v>OUTLIER</v>
      </c>
    </row>
    <row r="635" spans="1:16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  <c r="O635" t="str">
        <f>IF(OR(F635&lt;'EDA Analysis'!$B$22,F635&gt;'EDA Analysis'!$B$23),"OUTLIER","Normal")</f>
        <v>Normal</v>
      </c>
      <c r="P635" t="str">
        <f>IF(OR(N635&lt;'EDA Analysis'!$E$6,N635&gt;'EDA Analysis'!$E$7),"OUTLIER","Normal")</f>
        <v>Normal</v>
      </c>
    </row>
    <row r="636" spans="1:16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  <c r="O636" t="str">
        <f>IF(OR(F636&lt;'EDA Analysis'!$B$22,F636&gt;'EDA Analysis'!$B$23),"OUTLIER","Normal")</f>
        <v>Normal</v>
      </c>
      <c r="P636" t="str">
        <f>IF(OR(N636&lt;'EDA Analysis'!$E$6,N636&gt;'EDA Analysis'!$E$7),"OUTLIER","Normal")</f>
        <v>Normal</v>
      </c>
    </row>
    <row r="637" spans="1:16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  <c r="O637" t="str">
        <f>IF(OR(F637&lt;'EDA Analysis'!$B$22,F637&gt;'EDA Analysis'!$B$23),"OUTLIER","Normal")</f>
        <v>Normal</v>
      </c>
      <c r="P637" t="str">
        <f>IF(OR(N637&lt;'EDA Analysis'!$E$6,N637&gt;'EDA Analysis'!$E$7),"OUTLIER","Normal")</f>
        <v>Normal</v>
      </c>
    </row>
    <row r="638" spans="1:16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  <c r="O638" t="str">
        <f>IF(OR(F638&lt;'EDA Analysis'!$B$22,F638&gt;'EDA Analysis'!$B$23),"OUTLIER","Normal")</f>
        <v>Normal</v>
      </c>
      <c r="P638" t="str">
        <f>IF(OR(N638&lt;'EDA Analysis'!$E$6,N638&gt;'EDA Analysis'!$E$7),"OUTLIER","Normal")</f>
        <v>Normal</v>
      </c>
    </row>
    <row r="639" spans="1:16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  <c r="O639" t="str">
        <f>IF(OR(F639&lt;'EDA Analysis'!$B$22,F639&gt;'EDA Analysis'!$B$23),"OUTLIER","Normal")</f>
        <v>Normal</v>
      </c>
      <c r="P639" t="str">
        <f>IF(OR(N639&lt;'EDA Analysis'!$E$6,N639&gt;'EDA Analysis'!$E$7),"OUTLIER","Normal")</f>
        <v>Normal</v>
      </c>
    </row>
    <row r="640" spans="1:16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  <c r="O640" t="str">
        <f>IF(OR(F640&lt;'EDA Analysis'!$B$22,F640&gt;'EDA Analysis'!$B$23),"OUTLIER","Normal")</f>
        <v>Normal</v>
      </c>
      <c r="P640" t="str">
        <f>IF(OR(N640&lt;'EDA Analysis'!$E$6,N640&gt;'EDA Analysis'!$E$7),"OUTLIER","Normal")</f>
        <v>Normal</v>
      </c>
    </row>
    <row r="641" spans="1:16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  <c r="O641" t="str">
        <f>IF(OR(F641&lt;'EDA Analysis'!$B$22,F641&gt;'EDA Analysis'!$B$23),"OUTLIER","Normal")</f>
        <v>Normal</v>
      </c>
      <c r="P641" t="str">
        <f>IF(OR(N641&lt;'EDA Analysis'!$E$6,N641&gt;'EDA Analysis'!$E$7),"OUTLIER","Normal")</f>
        <v>Normal</v>
      </c>
    </row>
    <row r="642" spans="1:16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  <c r="O642" t="str">
        <f>IF(OR(F642&lt;'EDA Analysis'!$B$22,F642&gt;'EDA Analysis'!$B$23),"OUTLIER","Normal")</f>
        <v>Normal</v>
      </c>
      <c r="P642" t="str">
        <f>IF(OR(N642&lt;'EDA Analysis'!$E$6,N642&gt;'EDA Analysis'!$E$7),"OUTLIER","Normal")</f>
        <v>Normal</v>
      </c>
    </row>
    <row r="643" spans="1:16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  <c r="O643" t="str">
        <f>IF(OR(F643&lt;'EDA Analysis'!$B$22,F643&gt;'EDA Analysis'!$B$23),"OUTLIER","Normal")</f>
        <v>Normal</v>
      </c>
      <c r="P643" t="str">
        <f>IF(OR(N643&lt;'EDA Analysis'!$E$6,N643&gt;'EDA Analysis'!$E$7),"OUTLIER","Normal")</f>
        <v>Normal</v>
      </c>
    </row>
    <row r="644" spans="1:16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  <c r="O644" t="str">
        <f>IF(OR(F644&lt;'EDA Analysis'!$B$22,F644&gt;'EDA Analysis'!$B$23),"OUTLIER","Normal")</f>
        <v>Normal</v>
      </c>
      <c r="P644" t="str">
        <f>IF(OR(N644&lt;'EDA Analysis'!$E$6,N644&gt;'EDA Analysis'!$E$7),"OUTLIER","Normal")</f>
        <v>Normal</v>
      </c>
    </row>
    <row r="645" spans="1:16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  <c r="O645" t="str">
        <f>IF(OR(F645&lt;'EDA Analysis'!$B$22,F645&gt;'EDA Analysis'!$B$23),"OUTLIER","Normal")</f>
        <v>Normal</v>
      </c>
      <c r="P645" t="str">
        <f>IF(OR(N645&lt;'EDA Analysis'!$E$6,N645&gt;'EDA Analysis'!$E$7),"OUTLIER","Normal")</f>
        <v>Normal</v>
      </c>
    </row>
    <row r="646" spans="1:16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  <c r="O646" t="str">
        <f>IF(OR(F646&lt;'EDA Analysis'!$B$22,F646&gt;'EDA Analysis'!$B$23),"OUTLIER","Normal")</f>
        <v>Normal</v>
      </c>
      <c r="P646" t="str">
        <f>IF(OR(N646&lt;'EDA Analysis'!$E$6,N646&gt;'EDA Analysis'!$E$7),"OUTLIER","Normal")</f>
        <v>Normal</v>
      </c>
    </row>
    <row r="647" spans="1:16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  <c r="O647" t="str">
        <f>IF(OR(F647&lt;'EDA Analysis'!$B$22,F647&gt;'EDA Analysis'!$B$23),"OUTLIER","Normal")</f>
        <v>Normal</v>
      </c>
      <c r="P647" t="str">
        <f>IF(OR(N647&lt;'EDA Analysis'!$E$6,N647&gt;'EDA Analysis'!$E$7),"OUTLIER","Normal")</f>
        <v>Normal</v>
      </c>
    </row>
    <row r="648" spans="1:16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  <c r="O648" t="str">
        <f>IF(OR(F648&lt;'EDA Analysis'!$B$22,F648&gt;'EDA Analysis'!$B$23),"OUTLIER","Normal")</f>
        <v>Normal</v>
      </c>
      <c r="P648" t="str">
        <f>IF(OR(N648&lt;'EDA Analysis'!$E$6,N648&gt;'EDA Analysis'!$E$7),"OUTLIER","Normal")</f>
        <v>Normal</v>
      </c>
    </row>
    <row r="649" spans="1:16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  <c r="O649" t="str">
        <f>IF(OR(F649&lt;'EDA Analysis'!$B$22,F649&gt;'EDA Analysis'!$B$23),"OUTLIER","Normal")</f>
        <v>Normal</v>
      </c>
      <c r="P649" t="str">
        <f>IF(OR(N649&lt;'EDA Analysis'!$E$6,N649&gt;'EDA Analysis'!$E$7),"OUTLIER","Normal")</f>
        <v>Normal</v>
      </c>
    </row>
    <row r="650" spans="1:16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  <c r="O650" t="str">
        <f>IF(OR(F650&lt;'EDA Analysis'!$B$22,F650&gt;'EDA Analysis'!$B$23),"OUTLIER","Normal")</f>
        <v>Normal</v>
      </c>
      <c r="P650" t="str">
        <f>IF(OR(N650&lt;'EDA Analysis'!$E$6,N650&gt;'EDA Analysis'!$E$7),"OUTLIER","Normal")</f>
        <v>Normal</v>
      </c>
    </row>
    <row r="651" spans="1:16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  <c r="O651" t="str">
        <f>IF(OR(F651&lt;'EDA Analysis'!$B$22,F651&gt;'EDA Analysis'!$B$23),"OUTLIER","Normal")</f>
        <v>Normal</v>
      </c>
      <c r="P651" t="str">
        <f>IF(OR(N651&lt;'EDA Analysis'!$E$6,N651&gt;'EDA Analysis'!$E$7),"OUTLIER","Normal")</f>
        <v>Normal</v>
      </c>
    </row>
    <row r="652" spans="1:16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  <c r="O652" t="str">
        <f>IF(OR(F652&lt;'EDA Analysis'!$B$22,F652&gt;'EDA Analysis'!$B$23),"OUTLIER","Normal")</f>
        <v>Normal</v>
      </c>
      <c r="P652" t="str">
        <f>IF(OR(N652&lt;'EDA Analysis'!$E$6,N652&gt;'EDA Analysis'!$E$7),"OUTLIER","Normal")</f>
        <v>Normal</v>
      </c>
    </row>
    <row r="653" spans="1:16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  <c r="O653" t="str">
        <f>IF(OR(F653&lt;'EDA Analysis'!$B$22,F653&gt;'EDA Analysis'!$B$23),"OUTLIER","Normal")</f>
        <v>Normal</v>
      </c>
      <c r="P653" t="str">
        <f>IF(OR(N653&lt;'EDA Analysis'!$E$6,N653&gt;'EDA Analysis'!$E$7),"OUTLIER","Normal")</f>
        <v>Normal</v>
      </c>
    </row>
    <row r="654" spans="1:16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  <c r="O654" t="str">
        <f>IF(OR(F654&lt;'EDA Analysis'!$B$22,F654&gt;'EDA Analysis'!$B$23),"OUTLIER","Normal")</f>
        <v>Normal</v>
      </c>
      <c r="P654" t="str">
        <f>IF(OR(N654&lt;'EDA Analysis'!$E$6,N654&gt;'EDA Analysis'!$E$7),"OUTLIER","Normal")</f>
        <v>Normal</v>
      </c>
    </row>
    <row r="655" spans="1:16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  <c r="O655" t="str">
        <f>IF(OR(F655&lt;'EDA Analysis'!$B$22,F655&gt;'EDA Analysis'!$B$23),"OUTLIER","Normal")</f>
        <v>Normal</v>
      </c>
      <c r="P655" t="str">
        <f>IF(OR(N655&lt;'EDA Analysis'!$E$6,N655&gt;'EDA Analysis'!$E$7),"OUTLIER","Normal")</f>
        <v>Normal</v>
      </c>
    </row>
    <row r="656" spans="1:16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  <c r="O656" t="str">
        <f>IF(OR(F656&lt;'EDA Analysis'!$B$22,F656&gt;'EDA Analysis'!$B$23),"OUTLIER","Normal")</f>
        <v>Normal</v>
      </c>
      <c r="P656" t="str">
        <f>IF(OR(N656&lt;'EDA Analysis'!$E$6,N656&gt;'EDA Analysis'!$E$7),"OUTLIER","Normal")</f>
        <v>Normal</v>
      </c>
    </row>
    <row r="657" spans="1:16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  <c r="O657" t="str">
        <f>IF(OR(F657&lt;'EDA Analysis'!$B$22,F657&gt;'EDA Analysis'!$B$23),"OUTLIER","Normal")</f>
        <v>Normal</v>
      </c>
      <c r="P657" t="str">
        <f>IF(OR(N657&lt;'EDA Analysis'!$E$6,N657&gt;'EDA Analysis'!$E$7),"OUTLIER","Normal")</f>
        <v>Normal</v>
      </c>
    </row>
    <row r="658" spans="1:16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  <c r="O658" t="str">
        <f>IF(OR(F658&lt;'EDA Analysis'!$B$22,F658&gt;'EDA Analysis'!$B$23),"OUTLIER","Normal")</f>
        <v>Normal</v>
      </c>
      <c r="P658" t="str">
        <f>IF(OR(N658&lt;'EDA Analysis'!$E$6,N658&gt;'EDA Analysis'!$E$7),"OUTLIER","Normal")</f>
        <v>Normal</v>
      </c>
    </row>
    <row r="659" spans="1:16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  <c r="O659" t="str">
        <f>IF(OR(F659&lt;'EDA Analysis'!$B$22,F659&gt;'EDA Analysis'!$B$23),"OUTLIER","Normal")</f>
        <v>Normal</v>
      </c>
      <c r="P659" t="str">
        <f>IF(OR(N659&lt;'EDA Analysis'!$E$6,N659&gt;'EDA Analysis'!$E$7),"OUTLIER","Normal")</f>
        <v>Normal</v>
      </c>
    </row>
    <row r="660" spans="1:16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  <c r="O660" t="str">
        <f>IF(OR(F660&lt;'EDA Analysis'!$B$22,F660&gt;'EDA Analysis'!$B$23),"OUTLIER","Normal")</f>
        <v>Normal</v>
      </c>
      <c r="P660" t="str">
        <f>IF(OR(N660&lt;'EDA Analysis'!$E$6,N660&gt;'EDA Analysis'!$E$7),"OUTLIER","Normal")</f>
        <v>Normal</v>
      </c>
    </row>
    <row r="661" spans="1:16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  <c r="O661" t="str">
        <f>IF(OR(F661&lt;'EDA Analysis'!$B$22,F661&gt;'EDA Analysis'!$B$23),"OUTLIER","Normal")</f>
        <v>Normal</v>
      </c>
      <c r="P661" t="str">
        <f>IF(OR(N661&lt;'EDA Analysis'!$E$6,N661&gt;'EDA Analysis'!$E$7),"OUTLIER","Normal")</f>
        <v>Normal</v>
      </c>
    </row>
    <row r="662" spans="1:16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  <c r="O662" t="str">
        <f>IF(OR(F662&lt;'EDA Analysis'!$B$22,F662&gt;'EDA Analysis'!$B$23),"OUTLIER","Normal")</f>
        <v>Normal</v>
      </c>
      <c r="P662" t="str">
        <f>IF(OR(N662&lt;'EDA Analysis'!$E$6,N662&gt;'EDA Analysis'!$E$7),"OUTLIER","Normal")</f>
        <v>Normal</v>
      </c>
    </row>
    <row r="663" spans="1:16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  <c r="O663" t="str">
        <f>IF(OR(F663&lt;'EDA Analysis'!$B$22,F663&gt;'EDA Analysis'!$B$23),"OUTLIER","Normal")</f>
        <v>Normal</v>
      </c>
      <c r="P663" t="str">
        <f>IF(OR(N663&lt;'EDA Analysis'!$E$6,N663&gt;'EDA Analysis'!$E$7),"OUTLIER","Normal")</f>
        <v>Normal</v>
      </c>
    </row>
    <row r="664" spans="1:16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  <c r="O664" t="str">
        <f>IF(OR(F664&lt;'EDA Analysis'!$B$22,F664&gt;'EDA Analysis'!$B$23),"OUTLIER","Normal")</f>
        <v>Normal</v>
      </c>
      <c r="P664" t="str">
        <f>IF(OR(N664&lt;'EDA Analysis'!$E$6,N664&gt;'EDA Analysis'!$E$7),"OUTLIER","Normal")</f>
        <v>Normal</v>
      </c>
    </row>
    <row r="665" spans="1:16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  <c r="O665" t="str">
        <f>IF(OR(F665&lt;'EDA Analysis'!$B$22,F665&gt;'EDA Analysis'!$B$23),"OUTLIER","Normal")</f>
        <v>Normal</v>
      </c>
      <c r="P665" t="str">
        <f>IF(OR(N665&lt;'EDA Analysis'!$E$6,N665&gt;'EDA Analysis'!$E$7),"OUTLIER","Normal")</f>
        <v>Normal</v>
      </c>
    </row>
    <row r="666" spans="1:16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  <c r="O666" t="str">
        <f>IF(OR(F666&lt;'EDA Analysis'!$B$22,F666&gt;'EDA Analysis'!$B$23),"OUTLIER","Normal")</f>
        <v>Normal</v>
      </c>
      <c r="P666" t="str">
        <f>IF(OR(N666&lt;'EDA Analysis'!$E$6,N666&gt;'EDA Analysis'!$E$7),"OUTLIER","Normal")</f>
        <v>Normal</v>
      </c>
    </row>
    <row r="667" spans="1:16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  <c r="O667" t="str">
        <f>IF(OR(F667&lt;'EDA Analysis'!$B$22,F667&gt;'EDA Analysis'!$B$23),"OUTLIER","Normal")</f>
        <v>Normal</v>
      </c>
      <c r="P667" t="str">
        <f>IF(OR(N667&lt;'EDA Analysis'!$E$6,N667&gt;'EDA Analysis'!$E$7),"OUTLIER","Normal")</f>
        <v>Normal</v>
      </c>
    </row>
    <row r="668" spans="1:16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  <c r="O668" t="str">
        <f>IF(OR(F668&lt;'EDA Analysis'!$B$22,F668&gt;'EDA Analysis'!$B$23),"OUTLIER","Normal")</f>
        <v>Normal</v>
      </c>
      <c r="P668" t="str">
        <f>IF(OR(N668&lt;'EDA Analysis'!$E$6,N668&gt;'EDA Analysis'!$E$7),"OUTLIER","Normal")</f>
        <v>Normal</v>
      </c>
    </row>
    <row r="669" spans="1:16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  <c r="O669" t="str">
        <f>IF(OR(F669&lt;'EDA Analysis'!$B$22,F669&gt;'EDA Analysis'!$B$23),"OUTLIER","Normal")</f>
        <v>Normal</v>
      </c>
      <c r="P669" t="str">
        <f>IF(OR(N669&lt;'EDA Analysis'!$E$6,N669&gt;'EDA Analysis'!$E$7),"OUTLIER","Normal")</f>
        <v>Normal</v>
      </c>
    </row>
    <row r="670" spans="1:16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  <c r="O670" t="str">
        <f>IF(OR(F670&lt;'EDA Analysis'!$B$22,F670&gt;'EDA Analysis'!$B$23),"OUTLIER","Normal")</f>
        <v>Normal</v>
      </c>
      <c r="P670" t="str">
        <f>IF(OR(N670&lt;'EDA Analysis'!$E$6,N670&gt;'EDA Analysis'!$E$7),"OUTLIER","Normal")</f>
        <v>Normal</v>
      </c>
    </row>
    <row r="671" spans="1:16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  <c r="O671" t="str">
        <f>IF(OR(F671&lt;'EDA Analysis'!$B$22,F671&gt;'EDA Analysis'!$B$23),"OUTLIER","Normal")</f>
        <v>Normal</v>
      </c>
      <c r="P671" t="str">
        <f>IF(OR(N671&lt;'EDA Analysis'!$E$6,N671&gt;'EDA Analysis'!$E$7),"OUTLIER","Normal")</f>
        <v>Normal</v>
      </c>
    </row>
    <row r="672" spans="1:16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  <c r="O672" t="str">
        <f>IF(OR(F672&lt;'EDA Analysis'!$B$22,F672&gt;'EDA Analysis'!$B$23),"OUTLIER","Normal")</f>
        <v>Normal</v>
      </c>
      <c r="P672" t="str">
        <f>IF(OR(N672&lt;'EDA Analysis'!$E$6,N672&gt;'EDA Analysis'!$E$7),"OUTLIER","Normal")</f>
        <v>Normal</v>
      </c>
    </row>
    <row r="673" spans="1:16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  <c r="O673" t="str">
        <f>IF(OR(F673&lt;'EDA Analysis'!$B$22,F673&gt;'EDA Analysis'!$B$23),"OUTLIER","Normal")</f>
        <v>Normal</v>
      </c>
      <c r="P673" t="str">
        <f>IF(OR(N673&lt;'EDA Analysis'!$E$6,N673&gt;'EDA Analysis'!$E$7),"OUTLIER","Normal")</f>
        <v>Normal</v>
      </c>
    </row>
    <row r="674" spans="1:16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  <c r="O674" t="str">
        <f>IF(OR(F674&lt;'EDA Analysis'!$B$22,F674&gt;'EDA Analysis'!$B$23),"OUTLIER","Normal")</f>
        <v>Normal</v>
      </c>
      <c r="P674" t="str">
        <f>IF(OR(N674&lt;'EDA Analysis'!$E$6,N674&gt;'EDA Analysis'!$E$7),"OUTLIER","Normal")</f>
        <v>Normal</v>
      </c>
    </row>
    <row r="675" spans="1:16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  <c r="O675" t="str">
        <f>IF(OR(F675&lt;'EDA Analysis'!$B$22,F675&gt;'EDA Analysis'!$B$23),"OUTLIER","Normal")</f>
        <v>Normal</v>
      </c>
      <c r="P675" t="str">
        <f>IF(OR(N675&lt;'EDA Analysis'!$E$6,N675&gt;'EDA Analysis'!$E$7),"OUTLIER","Normal")</f>
        <v>Normal</v>
      </c>
    </row>
    <row r="676" spans="1:16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  <c r="O676" t="str">
        <f>IF(OR(F676&lt;'EDA Analysis'!$B$22,F676&gt;'EDA Analysis'!$B$23),"OUTLIER","Normal")</f>
        <v>Normal</v>
      </c>
      <c r="P676" t="str">
        <f>IF(OR(N676&lt;'EDA Analysis'!$E$6,N676&gt;'EDA Analysis'!$E$7),"OUTLIER","Normal")</f>
        <v>Normal</v>
      </c>
    </row>
    <row r="677" spans="1:16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  <c r="O677" t="str">
        <f>IF(OR(F677&lt;'EDA Analysis'!$B$22,F677&gt;'EDA Analysis'!$B$23),"OUTLIER","Normal")</f>
        <v>Normal</v>
      </c>
      <c r="P677" t="str">
        <f>IF(OR(N677&lt;'EDA Analysis'!$E$6,N677&gt;'EDA Analysis'!$E$7),"OUTLIER","Normal")</f>
        <v>Normal</v>
      </c>
    </row>
    <row r="678" spans="1:16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  <c r="O678" t="str">
        <f>IF(OR(F678&lt;'EDA Analysis'!$B$22,F678&gt;'EDA Analysis'!$B$23),"OUTLIER","Normal")</f>
        <v>Normal</v>
      </c>
      <c r="P678" t="str">
        <f>IF(OR(N678&lt;'EDA Analysis'!$E$6,N678&gt;'EDA Analysis'!$E$7),"OUTLIER","Normal")</f>
        <v>Normal</v>
      </c>
    </row>
    <row r="679" spans="1:16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  <c r="O679" t="str">
        <f>IF(OR(F679&lt;'EDA Analysis'!$B$22,F679&gt;'EDA Analysis'!$B$23),"OUTLIER","Normal")</f>
        <v>Normal</v>
      </c>
      <c r="P679" t="str">
        <f>IF(OR(N679&lt;'EDA Analysis'!$E$6,N679&gt;'EDA Analysis'!$E$7),"OUTLIER","Normal")</f>
        <v>Normal</v>
      </c>
    </row>
    <row r="680" spans="1:16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  <c r="O680" t="str">
        <f>IF(OR(F680&lt;'EDA Analysis'!$B$22,F680&gt;'EDA Analysis'!$B$23),"OUTLIER","Normal")</f>
        <v>Normal</v>
      </c>
      <c r="P680" t="str">
        <f>IF(OR(N680&lt;'EDA Analysis'!$E$6,N680&gt;'EDA Analysis'!$E$7),"OUTLIER","Normal")</f>
        <v>Normal</v>
      </c>
    </row>
    <row r="681" spans="1:16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  <c r="O681" t="str">
        <f>IF(OR(F681&lt;'EDA Analysis'!$B$22,F681&gt;'EDA Analysis'!$B$23),"OUTLIER","Normal")</f>
        <v>Normal</v>
      </c>
      <c r="P681" t="str">
        <f>IF(OR(N681&lt;'EDA Analysis'!$E$6,N681&gt;'EDA Analysis'!$E$7),"OUTLIER","Normal")</f>
        <v>Normal</v>
      </c>
    </row>
    <row r="682" spans="1:16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  <c r="O682" t="str">
        <f>IF(OR(F682&lt;'EDA Analysis'!$B$22,F682&gt;'EDA Analysis'!$B$23),"OUTLIER","Normal")</f>
        <v>Normal</v>
      </c>
      <c r="P682" t="str">
        <f>IF(OR(N682&lt;'EDA Analysis'!$E$6,N682&gt;'EDA Analysis'!$E$7),"OUTLIER","Normal")</f>
        <v>Normal</v>
      </c>
    </row>
    <row r="683" spans="1:16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  <c r="O683" t="str">
        <f>IF(OR(F683&lt;'EDA Analysis'!$B$22,F683&gt;'EDA Analysis'!$B$23),"OUTLIER","Normal")</f>
        <v>Normal</v>
      </c>
      <c r="P683" t="str">
        <f>IF(OR(N683&lt;'EDA Analysis'!$E$6,N683&gt;'EDA Analysis'!$E$7),"OUTLIER","Normal")</f>
        <v>Normal</v>
      </c>
    </row>
    <row r="684" spans="1:16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  <c r="O684" t="str">
        <f>IF(OR(F684&lt;'EDA Analysis'!$B$22,F684&gt;'EDA Analysis'!$B$23),"OUTLIER","Normal")</f>
        <v>Normal</v>
      </c>
      <c r="P684" t="str">
        <f>IF(OR(N684&lt;'EDA Analysis'!$E$6,N684&gt;'EDA Analysis'!$E$7),"OUTLIER","Normal")</f>
        <v>Normal</v>
      </c>
    </row>
    <row r="685" spans="1:16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  <c r="O685" t="str">
        <f>IF(OR(F685&lt;'EDA Analysis'!$B$22,F685&gt;'EDA Analysis'!$B$23),"OUTLIER","Normal")</f>
        <v>Normal</v>
      </c>
      <c r="P685" t="str">
        <f>IF(OR(N685&lt;'EDA Analysis'!$E$6,N685&gt;'EDA Analysis'!$E$7),"OUTLIER","Normal")</f>
        <v>Normal</v>
      </c>
    </row>
    <row r="686" spans="1:16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  <c r="O686" t="str">
        <f>IF(OR(F686&lt;'EDA Analysis'!$B$22,F686&gt;'EDA Analysis'!$B$23),"OUTLIER","Normal")</f>
        <v>Normal</v>
      </c>
      <c r="P686" t="str">
        <f>IF(OR(N686&lt;'EDA Analysis'!$E$6,N686&gt;'EDA Analysis'!$E$7),"OUTLIER","Normal")</f>
        <v>Normal</v>
      </c>
    </row>
    <row r="687" spans="1:16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  <c r="O687" t="str">
        <f>IF(OR(F687&lt;'EDA Analysis'!$B$22,F687&gt;'EDA Analysis'!$B$23),"OUTLIER","Normal")</f>
        <v>Normal</v>
      </c>
      <c r="P687" t="str">
        <f>IF(OR(N687&lt;'EDA Analysis'!$E$6,N687&gt;'EDA Analysis'!$E$7),"OUTLIER","Normal")</f>
        <v>Normal</v>
      </c>
    </row>
    <row r="688" spans="1:16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  <c r="O688" t="str">
        <f>IF(OR(F688&lt;'EDA Analysis'!$B$22,F688&gt;'EDA Analysis'!$B$23),"OUTLIER","Normal")</f>
        <v>Normal</v>
      </c>
      <c r="P688" t="str">
        <f>IF(OR(N688&lt;'EDA Analysis'!$E$6,N688&gt;'EDA Analysis'!$E$7),"OUTLIER","Normal")</f>
        <v>Normal</v>
      </c>
    </row>
    <row r="689" spans="1:16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  <c r="O689" t="str">
        <f>IF(OR(F689&lt;'EDA Analysis'!$B$22,F689&gt;'EDA Analysis'!$B$23),"OUTLIER","Normal")</f>
        <v>Normal</v>
      </c>
      <c r="P689" t="str">
        <f>IF(OR(N689&lt;'EDA Analysis'!$E$6,N689&gt;'EDA Analysis'!$E$7),"OUTLIER","Normal")</f>
        <v>Normal</v>
      </c>
    </row>
    <row r="690" spans="1:16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  <c r="O690" t="str">
        <f>IF(OR(F690&lt;'EDA Analysis'!$B$22,F690&gt;'EDA Analysis'!$B$23),"OUTLIER","Normal")</f>
        <v>Normal</v>
      </c>
      <c r="P690" t="str">
        <f>IF(OR(N690&lt;'EDA Analysis'!$E$6,N690&gt;'EDA Analysis'!$E$7),"OUTLIER","Normal")</f>
        <v>Normal</v>
      </c>
    </row>
    <row r="691" spans="1:16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  <c r="O691" t="str">
        <f>IF(OR(F691&lt;'EDA Analysis'!$B$22,F691&gt;'EDA Analysis'!$B$23),"OUTLIER","Normal")</f>
        <v>Normal</v>
      </c>
      <c r="P691" t="str">
        <f>IF(OR(N691&lt;'EDA Analysis'!$E$6,N691&gt;'EDA Analysis'!$E$7),"OUTLIER","Normal")</f>
        <v>Normal</v>
      </c>
    </row>
    <row r="692" spans="1:16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  <c r="O692" t="str">
        <f>IF(OR(F692&lt;'EDA Analysis'!$B$22,F692&gt;'EDA Analysis'!$B$23),"OUTLIER","Normal")</f>
        <v>Normal</v>
      </c>
      <c r="P692" t="str">
        <f>IF(OR(N692&lt;'EDA Analysis'!$E$6,N692&gt;'EDA Analysis'!$E$7),"OUTLIER","Normal")</f>
        <v>Normal</v>
      </c>
    </row>
    <row r="693" spans="1:16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  <c r="O693" t="str">
        <f>IF(OR(F693&lt;'EDA Analysis'!$B$22,F693&gt;'EDA Analysis'!$B$23),"OUTLIER","Normal")</f>
        <v>Normal</v>
      </c>
      <c r="P693" t="str">
        <f>IF(OR(N693&lt;'EDA Analysis'!$E$6,N693&gt;'EDA Analysis'!$E$7),"OUTLIER","Normal")</f>
        <v>Normal</v>
      </c>
    </row>
    <row r="694" spans="1:16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  <c r="O694" t="str">
        <f>IF(OR(F694&lt;'EDA Analysis'!$B$22,F694&gt;'EDA Analysis'!$B$23),"OUTLIER","Normal")</f>
        <v>Normal</v>
      </c>
      <c r="P694" t="str">
        <f>IF(OR(N694&lt;'EDA Analysis'!$E$6,N694&gt;'EDA Analysis'!$E$7),"OUTLIER","Normal")</f>
        <v>Normal</v>
      </c>
    </row>
    <row r="695" spans="1:16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  <c r="O695" t="str">
        <f>IF(OR(F695&lt;'EDA Analysis'!$B$22,F695&gt;'EDA Analysis'!$B$23),"OUTLIER","Normal")</f>
        <v>Normal</v>
      </c>
      <c r="P695" t="str">
        <f>IF(OR(N695&lt;'EDA Analysis'!$E$6,N695&gt;'EDA Analysis'!$E$7),"OUTLIER","Normal")</f>
        <v>Normal</v>
      </c>
    </row>
    <row r="696" spans="1:16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  <c r="O696" t="str">
        <f>IF(OR(F696&lt;'EDA Analysis'!$B$22,F696&gt;'EDA Analysis'!$B$23),"OUTLIER","Normal")</f>
        <v>Normal</v>
      </c>
      <c r="P696" t="str">
        <f>IF(OR(N696&lt;'EDA Analysis'!$E$6,N696&gt;'EDA Analysis'!$E$7),"OUTLIER","Normal")</f>
        <v>Normal</v>
      </c>
    </row>
    <row r="697" spans="1:16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  <c r="O697" t="str">
        <f>IF(OR(F697&lt;'EDA Analysis'!$B$22,F697&gt;'EDA Analysis'!$B$23),"OUTLIER","Normal")</f>
        <v>Normal</v>
      </c>
      <c r="P697" t="str">
        <f>IF(OR(N697&lt;'EDA Analysis'!$E$6,N697&gt;'EDA Analysis'!$E$7),"OUTLIER","Normal")</f>
        <v>Normal</v>
      </c>
    </row>
    <row r="698" spans="1:16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  <c r="O698" t="str">
        <f>IF(OR(F698&lt;'EDA Analysis'!$B$22,F698&gt;'EDA Analysis'!$B$23),"OUTLIER","Normal")</f>
        <v>Normal</v>
      </c>
      <c r="P698" t="str">
        <f>IF(OR(N698&lt;'EDA Analysis'!$E$6,N698&gt;'EDA Analysis'!$E$7),"OUTLIER","Normal")</f>
        <v>Normal</v>
      </c>
    </row>
    <row r="699" spans="1:16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  <c r="O699" t="str">
        <f>IF(OR(F699&lt;'EDA Analysis'!$B$22,F699&gt;'EDA Analysis'!$B$23),"OUTLIER","Normal")</f>
        <v>Normal</v>
      </c>
      <c r="P699" t="str">
        <f>IF(OR(N699&lt;'EDA Analysis'!$E$6,N699&gt;'EDA Analysis'!$E$7),"OUTLIER","Normal")</f>
        <v>Normal</v>
      </c>
    </row>
    <row r="700" spans="1:16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  <c r="O700" t="str">
        <f>IF(OR(F700&lt;'EDA Analysis'!$B$22,F700&gt;'EDA Analysis'!$B$23),"OUTLIER","Normal")</f>
        <v>Normal</v>
      </c>
      <c r="P700" t="str">
        <f>IF(OR(N700&lt;'EDA Analysis'!$E$6,N700&gt;'EDA Analysis'!$E$7),"OUTLIER","Normal")</f>
        <v>Normal</v>
      </c>
    </row>
    <row r="701" spans="1:16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  <c r="O701" t="str">
        <f>IF(OR(F701&lt;'EDA Analysis'!$B$22,F701&gt;'EDA Analysis'!$B$23),"OUTLIER","Normal")</f>
        <v>Normal</v>
      </c>
      <c r="P701" t="str">
        <f>IF(OR(N701&lt;'EDA Analysis'!$E$6,N701&gt;'EDA Analysis'!$E$7),"OUTLIER","Normal")</f>
        <v>Normal</v>
      </c>
    </row>
    <row r="702" spans="1:16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  <c r="O702" t="str">
        <f>IF(OR(F702&lt;'EDA Analysis'!$B$22,F702&gt;'EDA Analysis'!$B$23),"OUTLIER","Normal")</f>
        <v>Normal</v>
      </c>
      <c r="P702" t="str">
        <f>IF(OR(N702&lt;'EDA Analysis'!$E$6,N702&gt;'EDA Analysis'!$E$7),"OUTLIER","Normal")</f>
        <v>Normal</v>
      </c>
    </row>
    <row r="703" spans="1:16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  <c r="O703" t="str">
        <f>IF(OR(F703&lt;'EDA Analysis'!$B$22,F703&gt;'EDA Analysis'!$B$23),"OUTLIER","Normal")</f>
        <v>Normal</v>
      </c>
      <c r="P703" t="str">
        <f>IF(OR(N703&lt;'EDA Analysis'!$E$6,N703&gt;'EDA Analysis'!$E$7),"OUTLIER","Normal")</f>
        <v>Normal</v>
      </c>
    </row>
    <row r="704" spans="1:16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  <c r="O704" t="str">
        <f>IF(OR(F704&lt;'EDA Analysis'!$B$22,F704&gt;'EDA Analysis'!$B$23),"OUTLIER","Normal")</f>
        <v>Normal</v>
      </c>
      <c r="P704" t="str">
        <f>IF(OR(N704&lt;'EDA Analysis'!$E$6,N704&gt;'EDA Analysis'!$E$7),"OUTLIER","Normal")</f>
        <v>Normal</v>
      </c>
    </row>
    <row r="705" spans="1:16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  <c r="O705" t="str">
        <f>IF(OR(F705&lt;'EDA Analysis'!$B$22,F705&gt;'EDA Analysis'!$B$23),"OUTLIER","Normal")</f>
        <v>Normal</v>
      </c>
      <c r="P705" t="str">
        <f>IF(OR(N705&lt;'EDA Analysis'!$E$6,N705&gt;'EDA Analysis'!$E$7),"OUTLIER","Normal")</f>
        <v>Normal</v>
      </c>
    </row>
    <row r="706" spans="1:16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  <c r="O706" t="str">
        <f>IF(OR(F706&lt;'EDA Analysis'!$B$22,F706&gt;'EDA Analysis'!$B$23),"OUTLIER","Normal")</f>
        <v>Normal</v>
      </c>
      <c r="P706" t="str">
        <f>IF(OR(N706&lt;'EDA Analysis'!$E$6,N706&gt;'EDA Analysis'!$E$7),"OUTLIER","Normal")</f>
        <v>Normal</v>
      </c>
    </row>
    <row r="707" spans="1:16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  <c r="O707" t="str">
        <f>IF(OR(F707&lt;'EDA Analysis'!$B$22,F707&gt;'EDA Analysis'!$B$23),"OUTLIER","Normal")</f>
        <v>Normal</v>
      </c>
      <c r="P707" t="str">
        <f>IF(OR(N707&lt;'EDA Analysis'!$E$6,N707&gt;'EDA Analysis'!$E$7),"OUTLIER","Normal")</f>
        <v>Normal</v>
      </c>
    </row>
    <row r="708" spans="1:16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  <c r="O708" t="str">
        <f>IF(OR(F708&lt;'EDA Analysis'!$B$22,F708&gt;'EDA Analysis'!$B$23),"OUTLIER","Normal")</f>
        <v>Normal</v>
      </c>
      <c r="P708" t="str">
        <f>IF(OR(N708&lt;'EDA Analysis'!$E$6,N708&gt;'EDA Analysis'!$E$7),"OUTLIER","Normal")</f>
        <v>Normal</v>
      </c>
    </row>
    <row r="709" spans="1:16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  <c r="O709" t="str">
        <f>IF(OR(F709&lt;'EDA Analysis'!$B$22,F709&gt;'EDA Analysis'!$B$23),"OUTLIER","Normal")</f>
        <v>Normal</v>
      </c>
      <c r="P709" t="str">
        <f>IF(OR(N709&lt;'EDA Analysis'!$E$6,N709&gt;'EDA Analysis'!$E$7),"OUTLIER","Normal")</f>
        <v>Normal</v>
      </c>
    </row>
    <row r="710" spans="1:16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  <c r="O710" t="str">
        <f>IF(OR(F710&lt;'EDA Analysis'!$B$22,F710&gt;'EDA Analysis'!$B$23),"OUTLIER","Normal")</f>
        <v>Normal</v>
      </c>
      <c r="P710" t="str">
        <f>IF(OR(N710&lt;'EDA Analysis'!$E$6,N710&gt;'EDA Analysis'!$E$7),"OUTLIER","Normal")</f>
        <v>Normal</v>
      </c>
    </row>
    <row r="711" spans="1:16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  <c r="O711" t="str">
        <f>IF(OR(F711&lt;'EDA Analysis'!$B$22,F711&gt;'EDA Analysis'!$B$23),"OUTLIER","Normal")</f>
        <v>Normal</v>
      </c>
      <c r="P711" t="str">
        <f>IF(OR(N711&lt;'EDA Analysis'!$E$6,N711&gt;'EDA Analysis'!$E$7),"OUTLIER","Normal")</f>
        <v>Normal</v>
      </c>
    </row>
    <row r="712" spans="1:16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  <c r="O712" t="str">
        <f>IF(OR(F712&lt;'EDA Analysis'!$B$22,F712&gt;'EDA Analysis'!$B$23),"OUTLIER","Normal")</f>
        <v>Normal</v>
      </c>
      <c r="P712" t="str">
        <f>IF(OR(N712&lt;'EDA Analysis'!$E$6,N712&gt;'EDA Analysis'!$E$7),"OUTLIER","Normal")</f>
        <v>Normal</v>
      </c>
    </row>
    <row r="713" spans="1:16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  <c r="O713" t="str">
        <f>IF(OR(F713&lt;'EDA Analysis'!$B$22,F713&gt;'EDA Analysis'!$B$23),"OUTLIER","Normal")</f>
        <v>Normal</v>
      </c>
      <c r="P713" t="str">
        <f>IF(OR(N713&lt;'EDA Analysis'!$E$6,N713&gt;'EDA Analysis'!$E$7),"OUTLIER","Normal")</f>
        <v>Normal</v>
      </c>
    </row>
    <row r="714" spans="1:16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  <c r="O714" t="str">
        <f>IF(OR(F714&lt;'EDA Analysis'!$B$22,F714&gt;'EDA Analysis'!$B$23),"OUTLIER","Normal")</f>
        <v>Normal</v>
      </c>
      <c r="P714" t="str">
        <f>IF(OR(N714&lt;'EDA Analysis'!$E$6,N714&gt;'EDA Analysis'!$E$7),"OUTLIER","Normal")</f>
        <v>Normal</v>
      </c>
    </row>
    <row r="715" spans="1:16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  <c r="O715" t="str">
        <f>IF(OR(F715&lt;'EDA Analysis'!$B$22,F715&gt;'EDA Analysis'!$B$23),"OUTLIER","Normal")</f>
        <v>Normal</v>
      </c>
      <c r="P715" t="str">
        <f>IF(OR(N715&lt;'EDA Analysis'!$E$6,N715&gt;'EDA Analysis'!$E$7),"OUTLIER","Normal")</f>
        <v>Normal</v>
      </c>
    </row>
    <row r="716" spans="1:16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  <c r="O716" t="str">
        <f>IF(OR(F716&lt;'EDA Analysis'!$B$22,F716&gt;'EDA Analysis'!$B$23),"OUTLIER","Normal")</f>
        <v>Normal</v>
      </c>
      <c r="P716" t="str">
        <f>IF(OR(N716&lt;'EDA Analysis'!$E$6,N716&gt;'EDA Analysis'!$E$7),"OUTLIER","Normal")</f>
        <v>Normal</v>
      </c>
    </row>
    <row r="717" spans="1:16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  <c r="O717" t="str">
        <f>IF(OR(F717&lt;'EDA Analysis'!$B$22,F717&gt;'EDA Analysis'!$B$23),"OUTLIER","Normal")</f>
        <v>Normal</v>
      </c>
      <c r="P717" t="str">
        <f>IF(OR(N717&lt;'EDA Analysis'!$E$6,N717&gt;'EDA Analysis'!$E$7),"OUTLIER","Normal")</f>
        <v>Normal</v>
      </c>
    </row>
    <row r="718" spans="1:16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  <c r="O718" t="str">
        <f>IF(OR(F718&lt;'EDA Analysis'!$B$22,F718&gt;'EDA Analysis'!$B$23),"OUTLIER","Normal")</f>
        <v>Normal</v>
      </c>
      <c r="P718" t="str">
        <f>IF(OR(N718&lt;'EDA Analysis'!$E$6,N718&gt;'EDA Analysis'!$E$7),"OUTLIER","Normal")</f>
        <v>Normal</v>
      </c>
    </row>
    <row r="719" spans="1:16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  <c r="O719" t="str">
        <f>IF(OR(F719&lt;'EDA Analysis'!$B$22,F719&gt;'EDA Analysis'!$B$23),"OUTLIER","Normal")</f>
        <v>Normal</v>
      </c>
      <c r="P719" t="str">
        <f>IF(OR(N719&lt;'EDA Analysis'!$E$6,N719&gt;'EDA Analysis'!$E$7),"OUTLIER","Normal")</f>
        <v>Normal</v>
      </c>
    </row>
    <row r="720" spans="1:16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  <c r="O720" t="str">
        <f>IF(OR(F720&lt;'EDA Analysis'!$B$22,F720&gt;'EDA Analysis'!$B$23),"OUTLIER","Normal")</f>
        <v>Normal</v>
      </c>
      <c r="P720" t="str">
        <f>IF(OR(N720&lt;'EDA Analysis'!$E$6,N720&gt;'EDA Analysis'!$E$7),"OUTLIER","Normal")</f>
        <v>Normal</v>
      </c>
    </row>
    <row r="721" spans="1:16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  <c r="O721" t="str">
        <f>IF(OR(F721&lt;'EDA Analysis'!$B$22,F721&gt;'EDA Analysis'!$B$23),"OUTLIER","Normal")</f>
        <v>Normal</v>
      </c>
      <c r="P721" t="str">
        <f>IF(OR(N721&lt;'EDA Analysis'!$E$6,N721&gt;'EDA Analysis'!$E$7),"OUTLIER","Normal")</f>
        <v>Normal</v>
      </c>
    </row>
    <row r="722" spans="1:16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  <c r="O722" t="str">
        <f>IF(OR(F722&lt;'EDA Analysis'!$B$22,F722&gt;'EDA Analysis'!$B$23),"OUTLIER","Normal")</f>
        <v>Normal</v>
      </c>
      <c r="P722" t="str">
        <f>IF(OR(N722&lt;'EDA Analysis'!$E$6,N722&gt;'EDA Analysis'!$E$7),"OUTLIER","Normal")</f>
        <v>Normal</v>
      </c>
    </row>
    <row r="723" spans="1:16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  <c r="O723" t="str">
        <f>IF(OR(F723&lt;'EDA Analysis'!$B$22,F723&gt;'EDA Analysis'!$B$23),"OUTLIER","Normal")</f>
        <v>Normal</v>
      </c>
      <c r="P723" t="str">
        <f>IF(OR(N723&lt;'EDA Analysis'!$E$6,N723&gt;'EDA Analysis'!$E$7),"OUTLIER","Normal")</f>
        <v>Normal</v>
      </c>
    </row>
    <row r="724" spans="1:16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  <c r="O724" t="str">
        <f>IF(OR(F724&lt;'EDA Analysis'!$B$22,F724&gt;'EDA Analysis'!$B$23),"OUTLIER","Normal")</f>
        <v>Normal</v>
      </c>
      <c r="P724" t="str">
        <f>IF(OR(N724&lt;'EDA Analysis'!$E$6,N724&gt;'EDA Analysis'!$E$7),"OUTLIER","Normal")</f>
        <v>Normal</v>
      </c>
    </row>
    <row r="725" spans="1:16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  <c r="O725" t="str">
        <f>IF(OR(F725&lt;'EDA Analysis'!$B$22,F725&gt;'EDA Analysis'!$B$23),"OUTLIER","Normal")</f>
        <v>Normal</v>
      </c>
      <c r="P725" t="str">
        <f>IF(OR(N725&lt;'EDA Analysis'!$E$6,N725&gt;'EDA Analysis'!$E$7),"OUTLIER","Normal")</f>
        <v>Normal</v>
      </c>
    </row>
    <row r="726" spans="1:16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  <c r="O726" t="str">
        <f>IF(OR(F726&lt;'EDA Analysis'!$B$22,F726&gt;'EDA Analysis'!$B$23),"OUTLIER","Normal")</f>
        <v>Normal</v>
      </c>
      <c r="P726" t="str">
        <f>IF(OR(N726&lt;'EDA Analysis'!$E$6,N726&gt;'EDA Analysis'!$E$7),"OUTLIER","Normal")</f>
        <v>Normal</v>
      </c>
    </row>
    <row r="727" spans="1:16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  <c r="O727" t="str">
        <f>IF(OR(F727&lt;'EDA Analysis'!$B$22,F727&gt;'EDA Analysis'!$B$23),"OUTLIER","Normal")</f>
        <v>Normal</v>
      </c>
      <c r="P727" t="str">
        <f>IF(OR(N727&lt;'EDA Analysis'!$E$6,N727&gt;'EDA Analysis'!$E$7),"OUTLIER","Normal")</f>
        <v>Normal</v>
      </c>
    </row>
    <row r="728" spans="1:16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  <c r="O728" t="str">
        <f>IF(OR(F728&lt;'EDA Analysis'!$B$22,F728&gt;'EDA Analysis'!$B$23),"OUTLIER","Normal")</f>
        <v>Normal</v>
      </c>
      <c r="P728" t="str">
        <f>IF(OR(N728&lt;'EDA Analysis'!$E$6,N728&gt;'EDA Analysis'!$E$7),"OUTLIER","Normal")</f>
        <v>Normal</v>
      </c>
    </row>
    <row r="729" spans="1:16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  <c r="O729" t="str">
        <f>IF(OR(F729&lt;'EDA Analysis'!$B$22,F729&gt;'EDA Analysis'!$B$23),"OUTLIER","Normal")</f>
        <v>Normal</v>
      </c>
      <c r="P729" t="str">
        <f>IF(OR(N729&lt;'EDA Analysis'!$E$6,N729&gt;'EDA Analysis'!$E$7),"OUTLIER","Normal")</f>
        <v>Normal</v>
      </c>
    </row>
    <row r="730" spans="1:16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  <c r="O730" t="str">
        <f>IF(OR(F730&lt;'EDA Analysis'!$B$22,F730&gt;'EDA Analysis'!$B$23),"OUTLIER","Normal")</f>
        <v>Normal</v>
      </c>
      <c r="P730" t="str">
        <f>IF(OR(N730&lt;'EDA Analysis'!$E$6,N730&gt;'EDA Analysis'!$E$7),"OUTLIER","Normal")</f>
        <v>Normal</v>
      </c>
    </row>
    <row r="731" spans="1:16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  <c r="O731" t="str">
        <f>IF(OR(F731&lt;'EDA Analysis'!$B$22,F731&gt;'EDA Analysis'!$B$23),"OUTLIER","Normal")</f>
        <v>Normal</v>
      </c>
      <c r="P731" t="str">
        <f>IF(OR(N731&lt;'EDA Analysis'!$E$6,N731&gt;'EDA Analysis'!$E$7),"OUTLIER","Normal")</f>
        <v>Normal</v>
      </c>
    </row>
    <row r="732" spans="1:16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  <c r="O732" t="str">
        <f>IF(OR(F732&lt;'EDA Analysis'!$B$22,F732&gt;'EDA Analysis'!$B$23),"OUTLIER","Normal")</f>
        <v>Normal</v>
      </c>
      <c r="P732" t="str">
        <f>IF(OR(N732&lt;'EDA Analysis'!$E$6,N732&gt;'EDA Analysis'!$E$7),"OUTLIER","Normal")</f>
        <v>Normal</v>
      </c>
    </row>
    <row r="733" spans="1:16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  <c r="O733" t="str">
        <f>IF(OR(F733&lt;'EDA Analysis'!$B$22,F733&gt;'EDA Analysis'!$B$23),"OUTLIER","Normal")</f>
        <v>Normal</v>
      </c>
      <c r="P733" t="str">
        <f>IF(OR(N733&lt;'EDA Analysis'!$E$6,N733&gt;'EDA Analysis'!$E$7),"OUTLIER","Normal")</f>
        <v>Normal</v>
      </c>
    </row>
    <row r="734" spans="1:16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  <c r="O734" t="str">
        <f>IF(OR(F734&lt;'EDA Analysis'!$B$22,F734&gt;'EDA Analysis'!$B$23),"OUTLIER","Normal")</f>
        <v>Normal</v>
      </c>
      <c r="P734" t="str">
        <f>IF(OR(N734&lt;'EDA Analysis'!$E$6,N734&gt;'EDA Analysis'!$E$7),"OUTLIER","Normal")</f>
        <v>Normal</v>
      </c>
    </row>
    <row r="735" spans="1:16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  <c r="O735" t="str">
        <f>IF(OR(F735&lt;'EDA Analysis'!$B$22,F735&gt;'EDA Analysis'!$B$23),"OUTLIER","Normal")</f>
        <v>Normal</v>
      </c>
      <c r="P735" t="str">
        <f>IF(OR(N735&lt;'EDA Analysis'!$E$6,N735&gt;'EDA Analysis'!$E$7),"OUTLIER","Normal")</f>
        <v>Normal</v>
      </c>
    </row>
    <row r="736" spans="1:16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  <c r="O736" t="str">
        <f>IF(OR(F736&lt;'EDA Analysis'!$B$22,F736&gt;'EDA Analysis'!$B$23),"OUTLIER","Normal")</f>
        <v>Normal</v>
      </c>
      <c r="P736" t="str">
        <f>IF(OR(N736&lt;'EDA Analysis'!$E$6,N736&gt;'EDA Analysis'!$E$7),"OUTLIER","Normal")</f>
        <v>Normal</v>
      </c>
    </row>
    <row r="737" spans="1:16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  <c r="O737" t="str">
        <f>IF(OR(F737&lt;'EDA Analysis'!$B$22,F737&gt;'EDA Analysis'!$B$23),"OUTLIER","Normal")</f>
        <v>Normal</v>
      </c>
      <c r="P737" t="str">
        <f>IF(OR(N737&lt;'EDA Analysis'!$E$6,N737&gt;'EDA Analysis'!$E$7),"OUTLIER","Normal")</f>
        <v>Normal</v>
      </c>
    </row>
    <row r="738" spans="1:16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  <c r="O738" t="str">
        <f>IF(OR(F738&lt;'EDA Analysis'!$B$22,F738&gt;'EDA Analysis'!$B$23),"OUTLIER","Normal")</f>
        <v>Normal</v>
      </c>
      <c r="P738" t="str">
        <f>IF(OR(N738&lt;'EDA Analysis'!$E$6,N738&gt;'EDA Analysis'!$E$7),"OUTLIER","Normal")</f>
        <v>Normal</v>
      </c>
    </row>
    <row r="739" spans="1:16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  <c r="O739" t="str">
        <f>IF(OR(F739&lt;'EDA Analysis'!$B$22,F739&gt;'EDA Analysis'!$B$23),"OUTLIER","Normal")</f>
        <v>Normal</v>
      </c>
      <c r="P739" t="str">
        <f>IF(OR(N739&lt;'EDA Analysis'!$E$6,N739&gt;'EDA Analysis'!$E$7),"OUTLIER","Normal")</f>
        <v>Normal</v>
      </c>
    </row>
    <row r="740" spans="1:16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  <c r="O740" t="str">
        <f>IF(OR(F740&lt;'EDA Analysis'!$B$22,F740&gt;'EDA Analysis'!$B$23),"OUTLIER","Normal")</f>
        <v>Normal</v>
      </c>
      <c r="P740" t="str">
        <f>IF(OR(N740&lt;'EDA Analysis'!$E$6,N740&gt;'EDA Analysis'!$E$7),"OUTLIER","Normal")</f>
        <v>Normal</v>
      </c>
    </row>
    <row r="741" spans="1:16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  <c r="O741" t="str">
        <f>IF(OR(F741&lt;'EDA Analysis'!$B$22,F741&gt;'EDA Analysis'!$B$23),"OUTLIER","Normal")</f>
        <v>Normal</v>
      </c>
      <c r="P741" t="str">
        <f>IF(OR(N741&lt;'EDA Analysis'!$E$6,N741&gt;'EDA Analysis'!$E$7),"OUTLIER","Normal")</f>
        <v>Normal</v>
      </c>
    </row>
    <row r="742" spans="1:16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  <c r="O742" t="str">
        <f>IF(OR(F742&lt;'EDA Analysis'!$B$22,F742&gt;'EDA Analysis'!$B$23),"OUTLIER","Normal")</f>
        <v>Normal</v>
      </c>
      <c r="P742" t="str">
        <f>IF(OR(N742&lt;'EDA Analysis'!$E$6,N742&gt;'EDA Analysis'!$E$7),"OUTLIER","Normal")</f>
        <v>Normal</v>
      </c>
    </row>
    <row r="743" spans="1:16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  <c r="O743" t="str">
        <f>IF(OR(F743&lt;'EDA Analysis'!$B$22,F743&gt;'EDA Analysis'!$B$23),"OUTLIER","Normal")</f>
        <v>Normal</v>
      </c>
      <c r="P743" t="str">
        <f>IF(OR(N743&lt;'EDA Analysis'!$E$6,N743&gt;'EDA Analysis'!$E$7),"OUTLIER","Normal")</f>
        <v>Normal</v>
      </c>
    </row>
    <row r="744" spans="1:16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  <c r="O744" t="str">
        <f>IF(OR(F744&lt;'EDA Analysis'!$B$22,F744&gt;'EDA Analysis'!$B$23),"OUTLIER","Normal")</f>
        <v>Normal</v>
      </c>
      <c r="P744" t="str">
        <f>IF(OR(N744&lt;'EDA Analysis'!$E$6,N744&gt;'EDA Analysis'!$E$7),"OUTLIER","Normal")</f>
        <v>Normal</v>
      </c>
    </row>
    <row r="745" spans="1:16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  <c r="O745" t="str">
        <f>IF(OR(F745&lt;'EDA Analysis'!$B$22,F745&gt;'EDA Analysis'!$B$23),"OUTLIER","Normal")</f>
        <v>Normal</v>
      </c>
      <c r="P745" t="str">
        <f>IF(OR(N745&lt;'EDA Analysis'!$E$6,N745&gt;'EDA Analysis'!$E$7),"OUTLIER","Normal")</f>
        <v>Normal</v>
      </c>
    </row>
    <row r="746" spans="1:16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  <c r="O746" t="str">
        <f>IF(OR(F746&lt;'EDA Analysis'!$B$22,F746&gt;'EDA Analysis'!$B$23),"OUTLIER","Normal")</f>
        <v>Normal</v>
      </c>
      <c r="P746" t="str">
        <f>IF(OR(N746&lt;'EDA Analysis'!$E$6,N746&gt;'EDA Analysis'!$E$7),"OUTLIER","Normal")</f>
        <v>Normal</v>
      </c>
    </row>
    <row r="747" spans="1:16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  <c r="O747" t="str">
        <f>IF(OR(F747&lt;'EDA Analysis'!$B$22,F747&gt;'EDA Analysis'!$B$23),"OUTLIER","Normal")</f>
        <v>Normal</v>
      </c>
      <c r="P747" t="str">
        <f>IF(OR(N747&lt;'EDA Analysis'!$E$6,N747&gt;'EDA Analysis'!$E$7),"OUTLIER","Normal")</f>
        <v>Normal</v>
      </c>
    </row>
    <row r="748" spans="1:16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  <c r="O748" t="str">
        <f>IF(OR(F748&lt;'EDA Analysis'!$B$22,F748&gt;'EDA Analysis'!$B$23),"OUTLIER","Normal")</f>
        <v>Normal</v>
      </c>
      <c r="P748" t="str">
        <f>IF(OR(N748&lt;'EDA Analysis'!$E$6,N748&gt;'EDA Analysis'!$E$7),"OUTLIER","Normal")</f>
        <v>Normal</v>
      </c>
    </row>
    <row r="749" spans="1:16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  <c r="O749" t="str">
        <f>IF(OR(F749&lt;'EDA Analysis'!$B$22,F749&gt;'EDA Analysis'!$B$23),"OUTLIER","Normal")</f>
        <v>Normal</v>
      </c>
      <c r="P749" t="str">
        <f>IF(OR(N749&lt;'EDA Analysis'!$E$6,N749&gt;'EDA Analysis'!$E$7),"OUTLIER","Normal")</f>
        <v>Normal</v>
      </c>
    </row>
    <row r="750" spans="1:16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  <c r="O750" t="str">
        <f>IF(OR(F750&lt;'EDA Analysis'!$B$22,F750&gt;'EDA Analysis'!$B$23),"OUTLIER","Normal")</f>
        <v>Normal</v>
      </c>
      <c r="P750" t="str">
        <f>IF(OR(N750&lt;'EDA Analysis'!$E$6,N750&gt;'EDA Analysis'!$E$7),"OUTLIER","Normal")</f>
        <v>Normal</v>
      </c>
    </row>
    <row r="751" spans="1:16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  <c r="O751" t="str">
        <f>IF(OR(F751&lt;'EDA Analysis'!$B$22,F751&gt;'EDA Analysis'!$B$23),"OUTLIER","Normal")</f>
        <v>Normal</v>
      </c>
      <c r="P751" t="str">
        <f>IF(OR(N751&lt;'EDA Analysis'!$E$6,N751&gt;'EDA Analysis'!$E$7),"OUTLIER","Normal")</f>
        <v>Normal</v>
      </c>
    </row>
    <row r="752" spans="1:16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  <c r="O752" t="str">
        <f>IF(OR(F752&lt;'EDA Analysis'!$B$22,F752&gt;'EDA Analysis'!$B$23),"OUTLIER","Normal")</f>
        <v>Normal</v>
      </c>
      <c r="P752" t="str">
        <f>IF(OR(N752&lt;'EDA Analysis'!$E$6,N752&gt;'EDA Analysis'!$E$7),"OUTLIER","Normal")</f>
        <v>Normal</v>
      </c>
    </row>
    <row r="753" spans="1:16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  <c r="O753" t="str">
        <f>IF(OR(F753&lt;'EDA Analysis'!$B$22,F753&gt;'EDA Analysis'!$B$23),"OUTLIER","Normal")</f>
        <v>Normal</v>
      </c>
      <c r="P753" t="str">
        <f>IF(OR(N753&lt;'EDA Analysis'!$E$6,N753&gt;'EDA Analysis'!$E$7),"OUTLIER","Normal")</f>
        <v>Normal</v>
      </c>
    </row>
    <row r="754" spans="1:16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  <c r="O754" t="str">
        <f>IF(OR(F754&lt;'EDA Analysis'!$B$22,F754&gt;'EDA Analysis'!$B$23),"OUTLIER","Normal")</f>
        <v>Normal</v>
      </c>
      <c r="P754" t="str">
        <f>IF(OR(N754&lt;'EDA Analysis'!$E$6,N754&gt;'EDA Analysis'!$E$7),"OUTLIER","Normal")</f>
        <v>Normal</v>
      </c>
    </row>
    <row r="755" spans="1:16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  <c r="O755" t="str">
        <f>IF(OR(F755&lt;'EDA Analysis'!$B$22,F755&gt;'EDA Analysis'!$B$23),"OUTLIER","Normal")</f>
        <v>Normal</v>
      </c>
      <c r="P755" t="str">
        <f>IF(OR(N755&lt;'EDA Analysis'!$E$6,N755&gt;'EDA Analysis'!$E$7),"OUTLIER","Normal")</f>
        <v>Normal</v>
      </c>
    </row>
    <row r="756" spans="1:16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  <c r="O756" t="str">
        <f>IF(OR(F756&lt;'EDA Analysis'!$B$22,F756&gt;'EDA Analysis'!$B$23),"OUTLIER","Normal")</f>
        <v>Normal</v>
      </c>
      <c r="P756" t="str">
        <f>IF(OR(N756&lt;'EDA Analysis'!$E$6,N756&gt;'EDA Analysis'!$E$7),"OUTLIER","Normal")</f>
        <v>Normal</v>
      </c>
    </row>
    <row r="757" spans="1:16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  <c r="O757" t="str">
        <f>IF(OR(F757&lt;'EDA Analysis'!$B$22,F757&gt;'EDA Analysis'!$B$23),"OUTLIER","Normal")</f>
        <v>Normal</v>
      </c>
      <c r="P757" t="str">
        <f>IF(OR(N757&lt;'EDA Analysis'!$E$6,N757&gt;'EDA Analysis'!$E$7),"OUTLIER","Normal")</f>
        <v>Normal</v>
      </c>
    </row>
    <row r="758" spans="1:16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  <c r="O758" t="str">
        <f>IF(OR(F758&lt;'EDA Analysis'!$B$22,F758&gt;'EDA Analysis'!$B$23),"OUTLIER","Normal")</f>
        <v>Normal</v>
      </c>
      <c r="P758" t="str">
        <f>IF(OR(N758&lt;'EDA Analysis'!$E$6,N758&gt;'EDA Analysis'!$E$7),"OUTLIER","Normal")</f>
        <v>Normal</v>
      </c>
    </row>
    <row r="759" spans="1:16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  <c r="O759" t="str">
        <f>IF(OR(F759&lt;'EDA Analysis'!$B$22,F759&gt;'EDA Analysis'!$B$23),"OUTLIER","Normal")</f>
        <v>Normal</v>
      </c>
      <c r="P759" t="str">
        <f>IF(OR(N759&lt;'EDA Analysis'!$E$6,N759&gt;'EDA Analysis'!$E$7),"OUTLIER","Normal")</f>
        <v>Normal</v>
      </c>
    </row>
    <row r="760" spans="1:16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  <c r="O760" t="str">
        <f>IF(OR(F760&lt;'EDA Analysis'!$B$22,F760&gt;'EDA Analysis'!$B$23),"OUTLIER","Normal")</f>
        <v>Normal</v>
      </c>
      <c r="P760" t="str">
        <f>IF(OR(N760&lt;'EDA Analysis'!$E$6,N760&gt;'EDA Analysis'!$E$7),"OUTLIER","Normal")</f>
        <v>Normal</v>
      </c>
    </row>
    <row r="761" spans="1:16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  <c r="O761" t="str">
        <f>IF(OR(F761&lt;'EDA Analysis'!$B$22,F761&gt;'EDA Analysis'!$B$23),"OUTLIER","Normal")</f>
        <v>Normal</v>
      </c>
      <c r="P761" t="str">
        <f>IF(OR(N761&lt;'EDA Analysis'!$E$6,N761&gt;'EDA Analysis'!$E$7),"OUTLIER","Normal")</f>
        <v>Normal</v>
      </c>
    </row>
    <row r="762" spans="1:16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  <c r="O762" t="str">
        <f>IF(OR(F762&lt;'EDA Analysis'!$B$22,F762&gt;'EDA Analysis'!$B$23),"OUTLIER","Normal")</f>
        <v>Normal</v>
      </c>
      <c r="P762" t="str">
        <f>IF(OR(N762&lt;'EDA Analysis'!$E$6,N762&gt;'EDA Analysis'!$E$7),"OUTLIER","Normal")</f>
        <v>Normal</v>
      </c>
    </row>
    <row r="763" spans="1:16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  <c r="O763" t="str">
        <f>IF(OR(F763&lt;'EDA Analysis'!$B$22,F763&gt;'EDA Analysis'!$B$23),"OUTLIER","Normal")</f>
        <v>Normal</v>
      </c>
      <c r="P763" t="str">
        <f>IF(OR(N763&lt;'EDA Analysis'!$E$6,N763&gt;'EDA Analysis'!$E$7),"OUTLIER","Normal")</f>
        <v>Normal</v>
      </c>
    </row>
    <row r="764" spans="1:16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  <c r="O764" t="str">
        <f>IF(OR(F764&lt;'EDA Analysis'!$B$22,F764&gt;'EDA Analysis'!$B$23),"OUTLIER","Normal")</f>
        <v>Normal</v>
      </c>
      <c r="P764" t="str">
        <f>IF(OR(N764&lt;'EDA Analysis'!$E$6,N764&gt;'EDA Analysis'!$E$7),"OUTLIER","Normal")</f>
        <v>Normal</v>
      </c>
    </row>
    <row r="765" spans="1:16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  <c r="O765" t="str">
        <f>IF(OR(F765&lt;'EDA Analysis'!$B$22,F765&gt;'EDA Analysis'!$B$23),"OUTLIER","Normal")</f>
        <v>Normal</v>
      </c>
      <c r="P765" t="str">
        <f>IF(OR(N765&lt;'EDA Analysis'!$E$6,N765&gt;'EDA Analysis'!$E$7),"OUTLIER","Normal")</f>
        <v>Normal</v>
      </c>
    </row>
    <row r="766" spans="1:16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  <c r="O766" t="str">
        <f>IF(OR(F766&lt;'EDA Analysis'!$B$22,F766&gt;'EDA Analysis'!$B$23),"OUTLIER","Normal")</f>
        <v>Normal</v>
      </c>
      <c r="P766" t="str">
        <f>IF(OR(N766&lt;'EDA Analysis'!$E$6,N766&gt;'EDA Analysis'!$E$7),"OUTLIER","Normal")</f>
        <v>Normal</v>
      </c>
    </row>
    <row r="767" spans="1:16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  <c r="O767" t="str">
        <f>IF(OR(F767&lt;'EDA Analysis'!$B$22,F767&gt;'EDA Analysis'!$B$23),"OUTLIER","Normal")</f>
        <v>Normal</v>
      </c>
      <c r="P767" t="str">
        <f>IF(OR(N767&lt;'EDA Analysis'!$E$6,N767&gt;'EDA Analysis'!$E$7),"OUTLIER","Normal")</f>
        <v>Normal</v>
      </c>
    </row>
    <row r="768" spans="1:16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  <c r="O768" t="str">
        <f>IF(OR(F768&lt;'EDA Analysis'!$B$22,F768&gt;'EDA Analysis'!$B$23),"OUTLIER","Normal")</f>
        <v>Normal</v>
      </c>
      <c r="P768" t="str">
        <f>IF(OR(N768&lt;'EDA Analysis'!$E$6,N768&gt;'EDA Analysis'!$E$7),"OUTLIER","Normal")</f>
        <v>Normal</v>
      </c>
    </row>
    <row r="769" spans="1:16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  <c r="O769" t="str">
        <f>IF(OR(F769&lt;'EDA Analysis'!$B$22,F769&gt;'EDA Analysis'!$B$23),"OUTLIER","Normal")</f>
        <v>Normal</v>
      </c>
      <c r="P769" t="str">
        <f>IF(OR(N769&lt;'EDA Analysis'!$E$6,N769&gt;'EDA Analysis'!$E$7),"OUTLIER","Normal")</f>
        <v>Normal</v>
      </c>
    </row>
    <row r="770" spans="1:16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  <c r="O770" t="str">
        <f>IF(OR(F770&lt;'EDA Analysis'!$B$22,F770&gt;'EDA Analysis'!$B$23),"OUTLIER","Normal")</f>
        <v>Normal</v>
      </c>
      <c r="P770" t="str">
        <f>IF(OR(N770&lt;'EDA Analysis'!$E$6,N770&gt;'EDA Analysis'!$E$7),"OUTLIER","Normal")</f>
        <v>Normal</v>
      </c>
    </row>
    <row r="771" spans="1:16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  <c r="O771" t="str">
        <f>IF(OR(F771&lt;'EDA Analysis'!$B$22,F771&gt;'EDA Analysis'!$B$23),"OUTLIER","Normal")</f>
        <v>Normal</v>
      </c>
      <c r="P771" t="str">
        <f>IF(OR(N771&lt;'EDA Analysis'!$E$6,N771&gt;'EDA Analysis'!$E$7),"OUTLIER","Normal")</f>
        <v>Normal</v>
      </c>
    </row>
    <row r="772" spans="1:16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  <c r="O772" t="str">
        <f>IF(OR(F772&lt;'EDA Analysis'!$B$22,F772&gt;'EDA Analysis'!$B$23),"OUTLIER","Normal")</f>
        <v>Normal</v>
      </c>
      <c r="P772" t="str">
        <f>IF(OR(N772&lt;'EDA Analysis'!$E$6,N772&gt;'EDA Analysis'!$E$7),"OUTLIER","Normal")</f>
        <v>Normal</v>
      </c>
    </row>
    <row r="773" spans="1:16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  <c r="O773" t="str">
        <f>IF(OR(F773&lt;'EDA Analysis'!$B$22,F773&gt;'EDA Analysis'!$B$23),"OUTLIER","Normal")</f>
        <v>Normal</v>
      </c>
      <c r="P773" t="str">
        <f>IF(OR(N773&lt;'EDA Analysis'!$E$6,N773&gt;'EDA Analysis'!$E$7),"OUTLIER","Normal")</f>
        <v>Normal</v>
      </c>
    </row>
    <row r="774" spans="1:16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  <c r="O774" t="str">
        <f>IF(OR(F774&lt;'EDA Analysis'!$B$22,F774&gt;'EDA Analysis'!$B$23),"OUTLIER","Normal")</f>
        <v>Normal</v>
      </c>
      <c r="P774" t="str">
        <f>IF(OR(N774&lt;'EDA Analysis'!$E$6,N774&gt;'EDA Analysis'!$E$7),"OUTLIER","Normal")</f>
        <v>Normal</v>
      </c>
    </row>
    <row r="775" spans="1:16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  <c r="O775" t="str">
        <f>IF(OR(F775&lt;'EDA Analysis'!$B$22,F775&gt;'EDA Analysis'!$B$23),"OUTLIER","Normal")</f>
        <v>Normal</v>
      </c>
      <c r="P775" t="str">
        <f>IF(OR(N775&lt;'EDA Analysis'!$E$6,N775&gt;'EDA Analysis'!$E$7),"OUTLIER","Normal")</f>
        <v>Normal</v>
      </c>
    </row>
    <row r="776" spans="1:16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  <c r="O776" t="str">
        <f>IF(OR(F776&lt;'EDA Analysis'!$B$22,F776&gt;'EDA Analysis'!$B$23),"OUTLIER","Normal")</f>
        <v>Normal</v>
      </c>
      <c r="P776" t="str">
        <f>IF(OR(N776&lt;'EDA Analysis'!$E$6,N776&gt;'EDA Analysis'!$E$7),"OUTLIER","Normal")</f>
        <v>Normal</v>
      </c>
    </row>
    <row r="777" spans="1:16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  <c r="O777" t="str">
        <f>IF(OR(F777&lt;'EDA Analysis'!$B$22,F777&gt;'EDA Analysis'!$B$23),"OUTLIER","Normal")</f>
        <v>Normal</v>
      </c>
      <c r="P777" t="str">
        <f>IF(OR(N777&lt;'EDA Analysis'!$E$6,N777&gt;'EDA Analysis'!$E$7),"OUTLIER","Normal")</f>
        <v>Normal</v>
      </c>
    </row>
    <row r="778" spans="1:16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  <c r="O778" t="str">
        <f>IF(OR(F778&lt;'EDA Analysis'!$B$22,F778&gt;'EDA Analysis'!$B$23),"OUTLIER","Normal")</f>
        <v>Normal</v>
      </c>
      <c r="P778" t="str">
        <f>IF(OR(N778&lt;'EDA Analysis'!$E$6,N778&gt;'EDA Analysis'!$E$7),"OUTLIER","Normal")</f>
        <v>Normal</v>
      </c>
    </row>
    <row r="779" spans="1:16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  <c r="O779" t="str">
        <f>IF(OR(F779&lt;'EDA Analysis'!$B$22,F779&gt;'EDA Analysis'!$B$23),"OUTLIER","Normal")</f>
        <v>Normal</v>
      </c>
      <c r="P779" t="str">
        <f>IF(OR(N779&lt;'EDA Analysis'!$E$6,N779&gt;'EDA Analysis'!$E$7),"OUTLIER","Normal")</f>
        <v>Normal</v>
      </c>
    </row>
    <row r="780" spans="1:16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  <c r="O780" t="str">
        <f>IF(OR(F780&lt;'EDA Analysis'!$B$22,F780&gt;'EDA Analysis'!$B$23),"OUTLIER","Normal")</f>
        <v>Normal</v>
      </c>
      <c r="P780" t="str">
        <f>IF(OR(N780&lt;'EDA Analysis'!$E$6,N780&gt;'EDA Analysis'!$E$7),"OUTLIER","Normal")</f>
        <v>Normal</v>
      </c>
    </row>
    <row r="781" spans="1:16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  <c r="O781" t="str">
        <f>IF(OR(F781&lt;'EDA Analysis'!$B$22,F781&gt;'EDA Analysis'!$B$23),"OUTLIER","Normal")</f>
        <v>Normal</v>
      </c>
      <c r="P781" t="str">
        <f>IF(OR(N781&lt;'EDA Analysis'!$E$6,N781&gt;'EDA Analysis'!$E$7),"OUTLIER","Normal")</f>
        <v>Normal</v>
      </c>
    </row>
    <row r="782" spans="1:16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  <c r="O782" t="str">
        <f>IF(OR(F782&lt;'EDA Analysis'!$B$22,F782&gt;'EDA Analysis'!$B$23),"OUTLIER","Normal")</f>
        <v>Normal</v>
      </c>
      <c r="P782" t="str">
        <f>IF(OR(N782&lt;'EDA Analysis'!$E$6,N782&gt;'EDA Analysis'!$E$7),"OUTLIER","Normal")</f>
        <v>Normal</v>
      </c>
    </row>
    <row r="783" spans="1:16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  <c r="O783" t="str">
        <f>IF(OR(F783&lt;'EDA Analysis'!$B$22,F783&gt;'EDA Analysis'!$B$23),"OUTLIER","Normal")</f>
        <v>Normal</v>
      </c>
      <c r="P783" t="str">
        <f>IF(OR(N783&lt;'EDA Analysis'!$E$6,N783&gt;'EDA Analysis'!$E$7),"OUTLIER","Normal")</f>
        <v>Normal</v>
      </c>
    </row>
    <row r="784" spans="1:16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  <c r="O784" t="str">
        <f>IF(OR(F784&lt;'EDA Analysis'!$B$22,F784&gt;'EDA Analysis'!$B$23),"OUTLIER","Normal")</f>
        <v>Normal</v>
      </c>
      <c r="P784" t="str">
        <f>IF(OR(N784&lt;'EDA Analysis'!$E$6,N784&gt;'EDA Analysis'!$E$7),"OUTLIER","Normal")</f>
        <v>Normal</v>
      </c>
    </row>
    <row r="785" spans="1:16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  <c r="O785" t="str">
        <f>IF(OR(F785&lt;'EDA Analysis'!$B$22,F785&gt;'EDA Analysis'!$B$23),"OUTLIER","Normal")</f>
        <v>Normal</v>
      </c>
      <c r="P785" t="str">
        <f>IF(OR(N785&lt;'EDA Analysis'!$E$6,N785&gt;'EDA Analysis'!$E$7),"OUTLIER","Normal")</f>
        <v>Normal</v>
      </c>
    </row>
    <row r="786" spans="1:16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  <c r="O786" t="str">
        <f>IF(OR(F786&lt;'EDA Analysis'!$B$22,F786&gt;'EDA Analysis'!$B$23),"OUTLIER","Normal")</f>
        <v>Normal</v>
      </c>
      <c r="P786" t="str">
        <f>IF(OR(N786&lt;'EDA Analysis'!$E$6,N786&gt;'EDA Analysis'!$E$7),"OUTLIER","Normal")</f>
        <v>Normal</v>
      </c>
    </row>
    <row r="787" spans="1:16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  <c r="O787" t="str">
        <f>IF(OR(F787&lt;'EDA Analysis'!$B$22,F787&gt;'EDA Analysis'!$B$23),"OUTLIER","Normal")</f>
        <v>Normal</v>
      </c>
      <c r="P787" t="str">
        <f>IF(OR(N787&lt;'EDA Analysis'!$E$6,N787&gt;'EDA Analysis'!$E$7),"OUTLIER","Normal")</f>
        <v>Normal</v>
      </c>
    </row>
    <row r="788" spans="1:16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  <c r="O788" t="str">
        <f>IF(OR(F788&lt;'EDA Analysis'!$B$22,F788&gt;'EDA Analysis'!$B$23),"OUTLIER","Normal")</f>
        <v>Normal</v>
      </c>
      <c r="P788" t="str">
        <f>IF(OR(N788&lt;'EDA Analysis'!$E$6,N788&gt;'EDA Analysis'!$E$7),"OUTLIER","Normal")</f>
        <v>Normal</v>
      </c>
    </row>
    <row r="789" spans="1:16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  <c r="O789" t="str">
        <f>IF(OR(F789&lt;'EDA Analysis'!$B$22,F789&gt;'EDA Analysis'!$B$23),"OUTLIER","Normal")</f>
        <v>Normal</v>
      </c>
      <c r="P789" t="str">
        <f>IF(OR(N789&lt;'EDA Analysis'!$E$6,N789&gt;'EDA Analysis'!$E$7),"OUTLIER","Normal")</f>
        <v>Normal</v>
      </c>
    </row>
    <row r="790" spans="1:16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  <c r="O790" t="str">
        <f>IF(OR(F790&lt;'EDA Analysis'!$B$22,F790&gt;'EDA Analysis'!$B$23),"OUTLIER","Normal")</f>
        <v>Normal</v>
      </c>
      <c r="P790" t="str">
        <f>IF(OR(N790&lt;'EDA Analysis'!$E$6,N790&gt;'EDA Analysis'!$E$7),"OUTLIER","Normal")</f>
        <v>Normal</v>
      </c>
    </row>
    <row r="791" spans="1:16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  <c r="O791" t="str">
        <f>IF(OR(F791&lt;'EDA Analysis'!$B$22,F791&gt;'EDA Analysis'!$B$23),"OUTLIER","Normal")</f>
        <v>Normal</v>
      </c>
      <c r="P791" t="str">
        <f>IF(OR(N791&lt;'EDA Analysis'!$E$6,N791&gt;'EDA Analysis'!$E$7),"OUTLIER","Normal")</f>
        <v>OUTLIER</v>
      </c>
    </row>
    <row r="792" spans="1:16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  <c r="O792" t="str">
        <f>IF(OR(F792&lt;'EDA Analysis'!$B$22,F792&gt;'EDA Analysis'!$B$23),"OUTLIER","Normal")</f>
        <v>Normal</v>
      </c>
      <c r="P792" t="str">
        <f>IF(OR(N792&lt;'EDA Analysis'!$E$6,N792&gt;'EDA Analysis'!$E$7),"OUTLIER","Normal")</f>
        <v>Normal</v>
      </c>
    </row>
    <row r="793" spans="1:16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  <c r="O793" t="str">
        <f>IF(OR(F793&lt;'EDA Analysis'!$B$22,F793&gt;'EDA Analysis'!$B$23),"OUTLIER","Normal")</f>
        <v>Normal</v>
      </c>
      <c r="P793" t="str">
        <f>IF(OR(N793&lt;'EDA Analysis'!$E$6,N793&gt;'EDA Analysis'!$E$7),"OUTLIER","Normal")</f>
        <v>Normal</v>
      </c>
    </row>
    <row r="794" spans="1:16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  <c r="O794" t="str">
        <f>IF(OR(F794&lt;'EDA Analysis'!$B$22,F794&gt;'EDA Analysis'!$B$23),"OUTLIER","Normal")</f>
        <v>Normal</v>
      </c>
      <c r="P794" t="str">
        <f>IF(OR(N794&lt;'EDA Analysis'!$E$6,N794&gt;'EDA Analysis'!$E$7),"OUTLIER","Normal")</f>
        <v>Normal</v>
      </c>
    </row>
    <row r="795" spans="1:16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  <c r="O795" t="str">
        <f>IF(OR(F795&lt;'EDA Analysis'!$B$22,F795&gt;'EDA Analysis'!$B$23),"OUTLIER","Normal")</f>
        <v>Normal</v>
      </c>
      <c r="P795" t="str">
        <f>IF(OR(N795&lt;'EDA Analysis'!$E$6,N795&gt;'EDA Analysis'!$E$7),"OUTLIER","Normal")</f>
        <v>Normal</v>
      </c>
    </row>
    <row r="796" spans="1:16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  <c r="O796" t="str">
        <f>IF(OR(F796&lt;'EDA Analysis'!$B$22,F796&gt;'EDA Analysis'!$B$23),"OUTLIER","Normal")</f>
        <v>Normal</v>
      </c>
      <c r="P796" t="str">
        <f>IF(OR(N796&lt;'EDA Analysis'!$E$6,N796&gt;'EDA Analysis'!$E$7),"OUTLIER","Normal")</f>
        <v>Normal</v>
      </c>
    </row>
    <row r="797" spans="1:16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  <c r="O797" t="str">
        <f>IF(OR(F797&lt;'EDA Analysis'!$B$22,F797&gt;'EDA Analysis'!$B$23),"OUTLIER","Normal")</f>
        <v>Normal</v>
      </c>
      <c r="P797" t="str">
        <f>IF(OR(N797&lt;'EDA Analysis'!$E$6,N797&gt;'EDA Analysis'!$E$7),"OUTLIER","Normal")</f>
        <v>Normal</v>
      </c>
    </row>
    <row r="798" spans="1:16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  <c r="O798" t="str">
        <f>IF(OR(F798&lt;'EDA Analysis'!$B$22,F798&gt;'EDA Analysis'!$B$23),"OUTLIER","Normal")</f>
        <v>Normal</v>
      </c>
      <c r="P798" t="str">
        <f>IF(OR(N798&lt;'EDA Analysis'!$E$6,N798&gt;'EDA Analysis'!$E$7),"OUTLIER","Normal")</f>
        <v>Normal</v>
      </c>
    </row>
    <row r="799" spans="1:16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  <c r="O799" t="str">
        <f>IF(OR(F799&lt;'EDA Analysis'!$B$22,F799&gt;'EDA Analysis'!$B$23),"OUTLIER","Normal")</f>
        <v>Normal</v>
      </c>
      <c r="P799" t="str">
        <f>IF(OR(N799&lt;'EDA Analysis'!$E$6,N799&gt;'EDA Analysis'!$E$7),"OUTLIER","Normal")</f>
        <v>Normal</v>
      </c>
    </row>
    <row r="800" spans="1:16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  <c r="O800" t="str">
        <f>IF(OR(F800&lt;'EDA Analysis'!$B$22,F800&gt;'EDA Analysis'!$B$23),"OUTLIER","Normal")</f>
        <v>Normal</v>
      </c>
      <c r="P800" t="str">
        <f>IF(OR(N800&lt;'EDA Analysis'!$E$6,N800&gt;'EDA Analysis'!$E$7),"OUTLIER","Normal")</f>
        <v>Normal</v>
      </c>
    </row>
    <row r="801" spans="1:16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  <c r="O801" t="str">
        <f>IF(OR(F801&lt;'EDA Analysis'!$B$22,F801&gt;'EDA Analysis'!$B$23),"OUTLIER","Normal")</f>
        <v>Normal</v>
      </c>
      <c r="P801" t="str">
        <f>IF(OR(N801&lt;'EDA Analysis'!$E$6,N801&gt;'EDA Analysis'!$E$7),"OUTLIER","Normal")</f>
        <v>Normal</v>
      </c>
    </row>
    <row r="802" spans="1:16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  <c r="O802" t="str">
        <f>IF(OR(F802&lt;'EDA Analysis'!$B$22,F802&gt;'EDA Analysis'!$B$23),"OUTLIER","Normal")</f>
        <v>Normal</v>
      </c>
      <c r="P802" t="str">
        <f>IF(OR(N802&lt;'EDA Analysis'!$E$6,N802&gt;'EDA Analysis'!$E$7),"OUTLIER","Normal")</f>
        <v>Normal</v>
      </c>
    </row>
    <row r="803" spans="1:16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  <c r="O803" t="str">
        <f>IF(OR(F803&lt;'EDA Analysis'!$B$22,F803&gt;'EDA Analysis'!$B$23),"OUTLIER","Normal")</f>
        <v>Normal</v>
      </c>
      <c r="P803" t="str">
        <f>IF(OR(N803&lt;'EDA Analysis'!$E$6,N803&gt;'EDA Analysis'!$E$7),"OUTLIER","Normal")</f>
        <v>Normal</v>
      </c>
    </row>
    <row r="804" spans="1:16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  <c r="O804" t="str">
        <f>IF(OR(F804&lt;'EDA Analysis'!$B$22,F804&gt;'EDA Analysis'!$B$23),"OUTLIER","Normal")</f>
        <v>Normal</v>
      </c>
      <c r="P804" t="str">
        <f>IF(OR(N804&lt;'EDA Analysis'!$E$6,N804&gt;'EDA Analysis'!$E$7),"OUTLIER","Normal")</f>
        <v>Normal</v>
      </c>
    </row>
    <row r="805" spans="1:16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  <c r="O805" t="str">
        <f>IF(OR(F805&lt;'EDA Analysis'!$B$22,F805&gt;'EDA Analysis'!$B$23),"OUTLIER","Normal")</f>
        <v>Normal</v>
      </c>
      <c r="P805" t="str">
        <f>IF(OR(N805&lt;'EDA Analysis'!$E$6,N805&gt;'EDA Analysis'!$E$7),"OUTLIER","Normal")</f>
        <v>Normal</v>
      </c>
    </row>
    <row r="806" spans="1:16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  <c r="O806" t="str">
        <f>IF(OR(F806&lt;'EDA Analysis'!$B$22,F806&gt;'EDA Analysis'!$B$23),"OUTLIER","Normal")</f>
        <v>Normal</v>
      </c>
      <c r="P806" t="str">
        <f>IF(OR(N806&lt;'EDA Analysis'!$E$6,N806&gt;'EDA Analysis'!$E$7),"OUTLIER","Normal")</f>
        <v>Normal</v>
      </c>
    </row>
    <row r="807" spans="1:16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  <c r="O807" t="str">
        <f>IF(OR(F807&lt;'EDA Analysis'!$B$22,F807&gt;'EDA Analysis'!$B$23),"OUTLIER","Normal")</f>
        <v>Normal</v>
      </c>
      <c r="P807" t="str">
        <f>IF(OR(N807&lt;'EDA Analysis'!$E$6,N807&gt;'EDA Analysis'!$E$7),"OUTLIER","Normal")</f>
        <v>Normal</v>
      </c>
    </row>
    <row r="808" spans="1:16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  <c r="O808" t="str">
        <f>IF(OR(F808&lt;'EDA Analysis'!$B$22,F808&gt;'EDA Analysis'!$B$23),"OUTLIER","Normal")</f>
        <v>Normal</v>
      </c>
      <c r="P808" t="str">
        <f>IF(OR(N808&lt;'EDA Analysis'!$E$6,N808&gt;'EDA Analysis'!$E$7),"OUTLIER","Normal")</f>
        <v>Normal</v>
      </c>
    </row>
    <row r="809" spans="1:16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  <c r="O809" t="str">
        <f>IF(OR(F809&lt;'EDA Analysis'!$B$22,F809&gt;'EDA Analysis'!$B$23),"OUTLIER","Normal")</f>
        <v>Normal</v>
      </c>
      <c r="P809" t="str">
        <f>IF(OR(N809&lt;'EDA Analysis'!$E$6,N809&gt;'EDA Analysis'!$E$7),"OUTLIER","Normal")</f>
        <v>Normal</v>
      </c>
    </row>
    <row r="810" spans="1:16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  <c r="O810" t="str">
        <f>IF(OR(F810&lt;'EDA Analysis'!$B$22,F810&gt;'EDA Analysis'!$B$23),"OUTLIER","Normal")</f>
        <v>Normal</v>
      </c>
      <c r="P810" t="str">
        <f>IF(OR(N810&lt;'EDA Analysis'!$E$6,N810&gt;'EDA Analysis'!$E$7),"OUTLIER","Normal")</f>
        <v>Normal</v>
      </c>
    </row>
    <row r="811" spans="1:16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  <c r="O811" t="str">
        <f>IF(OR(F811&lt;'EDA Analysis'!$B$22,F811&gt;'EDA Analysis'!$B$23),"OUTLIER","Normal")</f>
        <v>Normal</v>
      </c>
      <c r="P811" t="str">
        <f>IF(OR(N811&lt;'EDA Analysis'!$E$6,N811&gt;'EDA Analysis'!$E$7),"OUTLIER","Normal")</f>
        <v>Normal</v>
      </c>
    </row>
    <row r="812" spans="1:16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  <c r="O812" t="str">
        <f>IF(OR(F812&lt;'EDA Analysis'!$B$22,F812&gt;'EDA Analysis'!$B$23),"OUTLIER","Normal")</f>
        <v>Normal</v>
      </c>
      <c r="P812" t="str">
        <f>IF(OR(N812&lt;'EDA Analysis'!$E$6,N812&gt;'EDA Analysis'!$E$7),"OUTLIER","Normal")</f>
        <v>Normal</v>
      </c>
    </row>
    <row r="813" spans="1:16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  <c r="O813" t="str">
        <f>IF(OR(F813&lt;'EDA Analysis'!$B$22,F813&gt;'EDA Analysis'!$B$23),"OUTLIER","Normal")</f>
        <v>Normal</v>
      </c>
      <c r="P813" t="str">
        <f>IF(OR(N813&lt;'EDA Analysis'!$E$6,N813&gt;'EDA Analysis'!$E$7),"OUTLIER","Normal")</f>
        <v>Normal</v>
      </c>
    </row>
    <row r="814" spans="1:16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  <c r="O814" t="str">
        <f>IF(OR(F814&lt;'EDA Analysis'!$B$22,F814&gt;'EDA Analysis'!$B$23),"OUTLIER","Normal")</f>
        <v>Normal</v>
      </c>
      <c r="P814" t="str">
        <f>IF(OR(N814&lt;'EDA Analysis'!$E$6,N814&gt;'EDA Analysis'!$E$7),"OUTLIER","Normal")</f>
        <v>Normal</v>
      </c>
    </row>
    <row r="815" spans="1:16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  <c r="O815" t="str">
        <f>IF(OR(F815&lt;'EDA Analysis'!$B$22,F815&gt;'EDA Analysis'!$B$23),"OUTLIER","Normal")</f>
        <v>Normal</v>
      </c>
      <c r="P815" t="str">
        <f>IF(OR(N815&lt;'EDA Analysis'!$E$6,N815&gt;'EDA Analysis'!$E$7),"OUTLIER","Normal")</f>
        <v>Normal</v>
      </c>
    </row>
    <row r="816" spans="1:16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  <c r="O816" t="str">
        <f>IF(OR(F816&lt;'EDA Analysis'!$B$22,F816&gt;'EDA Analysis'!$B$23),"OUTLIER","Normal")</f>
        <v>Normal</v>
      </c>
      <c r="P816" t="str">
        <f>IF(OR(N816&lt;'EDA Analysis'!$E$6,N816&gt;'EDA Analysis'!$E$7),"OUTLIER","Normal")</f>
        <v>Normal</v>
      </c>
    </row>
    <row r="817" spans="1:16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  <c r="O817" t="str">
        <f>IF(OR(F817&lt;'EDA Analysis'!$B$22,F817&gt;'EDA Analysis'!$B$23),"OUTLIER","Normal")</f>
        <v>Normal</v>
      </c>
      <c r="P817" t="str">
        <f>IF(OR(N817&lt;'EDA Analysis'!$E$6,N817&gt;'EDA Analysis'!$E$7),"OUTLIER","Normal")</f>
        <v>Normal</v>
      </c>
    </row>
    <row r="818" spans="1:16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  <c r="O818" t="str">
        <f>IF(OR(F818&lt;'EDA Analysis'!$B$22,F818&gt;'EDA Analysis'!$B$23),"OUTLIER","Normal")</f>
        <v>Normal</v>
      </c>
      <c r="P818" t="str">
        <f>IF(OR(N818&lt;'EDA Analysis'!$E$6,N818&gt;'EDA Analysis'!$E$7),"OUTLIER","Normal")</f>
        <v>Normal</v>
      </c>
    </row>
    <row r="819" spans="1:16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  <c r="O819" t="str">
        <f>IF(OR(F819&lt;'EDA Analysis'!$B$22,F819&gt;'EDA Analysis'!$B$23),"OUTLIER","Normal")</f>
        <v>Normal</v>
      </c>
      <c r="P819" t="str">
        <f>IF(OR(N819&lt;'EDA Analysis'!$E$6,N819&gt;'EDA Analysis'!$E$7),"OUTLIER","Normal")</f>
        <v>Normal</v>
      </c>
    </row>
    <row r="820" spans="1:16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  <c r="O820" t="str">
        <f>IF(OR(F820&lt;'EDA Analysis'!$B$22,F820&gt;'EDA Analysis'!$B$23),"OUTLIER","Normal")</f>
        <v>Normal</v>
      </c>
      <c r="P820" t="str">
        <f>IF(OR(N820&lt;'EDA Analysis'!$E$6,N820&gt;'EDA Analysis'!$E$7),"OUTLIER","Normal")</f>
        <v>Normal</v>
      </c>
    </row>
    <row r="821" spans="1:16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  <c r="O821" t="str">
        <f>IF(OR(F821&lt;'EDA Analysis'!$B$22,F821&gt;'EDA Analysis'!$B$23),"OUTLIER","Normal")</f>
        <v>Normal</v>
      </c>
      <c r="P821" t="str">
        <f>IF(OR(N821&lt;'EDA Analysis'!$E$6,N821&gt;'EDA Analysis'!$E$7),"OUTLIER","Normal")</f>
        <v>Normal</v>
      </c>
    </row>
    <row r="822" spans="1:16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  <c r="O822" t="str">
        <f>IF(OR(F822&lt;'EDA Analysis'!$B$22,F822&gt;'EDA Analysis'!$B$23),"OUTLIER","Normal")</f>
        <v>Normal</v>
      </c>
      <c r="P822" t="str">
        <f>IF(OR(N822&lt;'EDA Analysis'!$E$6,N822&gt;'EDA Analysis'!$E$7),"OUTLIER","Normal")</f>
        <v>Normal</v>
      </c>
    </row>
    <row r="823" spans="1:16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  <c r="O823" t="str">
        <f>IF(OR(F823&lt;'EDA Analysis'!$B$22,F823&gt;'EDA Analysis'!$B$23),"OUTLIER","Normal")</f>
        <v>Normal</v>
      </c>
      <c r="P823" t="str">
        <f>IF(OR(N823&lt;'EDA Analysis'!$E$6,N823&gt;'EDA Analysis'!$E$7),"OUTLIER","Normal")</f>
        <v>Normal</v>
      </c>
    </row>
    <row r="824" spans="1:16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  <c r="O824" t="str">
        <f>IF(OR(F824&lt;'EDA Analysis'!$B$22,F824&gt;'EDA Analysis'!$B$23),"OUTLIER","Normal")</f>
        <v>Normal</v>
      </c>
      <c r="P824" t="str">
        <f>IF(OR(N824&lt;'EDA Analysis'!$E$6,N824&gt;'EDA Analysis'!$E$7),"OUTLIER","Normal")</f>
        <v>Normal</v>
      </c>
    </row>
    <row r="825" spans="1:16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  <c r="O825" t="str">
        <f>IF(OR(F825&lt;'EDA Analysis'!$B$22,F825&gt;'EDA Analysis'!$B$23),"OUTLIER","Normal")</f>
        <v>Normal</v>
      </c>
      <c r="P825" t="str">
        <f>IF(OR(N825&lt;'EDA Analysis'!$E$6,N825&gt;'EDA Analysis'!$E$7),"OUTLIER","Normal")</f>
        <v>Normal</v>
      </c>
    </row>
    <row r="826" spans="1:16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  <c r="O826" t="str">
        <f>IF(OR(F826&lt;'EDA Analysis'!$B$22,F826&gt;'EDA Analysis'!$B$23),"OUTLIER","Normal")</f>
        <v>Normal</v>
      </c>
      <c r="P826" t="str">
        <f>IF(OR(N826&lt;'EDA Analysis'!$E$6,N826&gt;'EDA Analysis'!$E$7),"OUTLIER","Normal")</f>
        <v>Normal</v>
      </c>
    </row>
    <row r="827" spans="1:16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  <c r="O827" t="str">
        <f>IF(OR(F827&lt;'EDA Analysis'!$B$22,F827&gt;'EDA Analysis'!$B$23),"OUTLIER","Normal")</f>
        <v>Normal</v>
      </c>
      <c r="P827" t="str">
        <f>IF(OR(N827&lt;'EDA Analysis'!$E$6,N827&gt;'EDA Analysis'!$E$7),"OUTLIER","Normal")</f>
        <v>Normal</v>
      </c>
    </row>
    <row r="828" spans="1:16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  <c r="O828" t="str">
        <f>IF(OR(F828&lt;'EDA Analysis'!$B$22,F828&gt;'EDA Analysis'!$B$23),"OUTLIER","Normal")</f>
        <v>Normal</v>
      </c>
      <c r="P828" t="str">
        <f>IF(OR(N828&lt;'EDA Analysis'!$E$6,N828&gt;'EDA Analysis'!$E$7),"OUTLIER","Normal")</f>
        <v>Normal</v>
      </c>
    </row>
    <row r="829" spans="1:16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  <c r="O829" t="str">
        <f>IF(OR(F829&lt;'EDA Analysis'!$B$22,F829&gt;'EDA Analysis'!$B$23),"OUTLIER","Normal")</f>
        <v>Normal</v>
      </c>
      <c r="P829" t="str">
        <f>IF(OR(N829&lt;'EDA Analysis'!$E$6,N829&gt;'EDA Analysis'!$E$7),"OUTLIER","Normal")</f>
        <v>Normal</v>
      </c>
    </row>
    <row r="830" spans="1:16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  <c r="O830" t="str">
        <f>IF(OR(F830&lt;'EDA Analysis'!$B$22,F830&gt;'EDA Analysis'!$B$23),"OUTLIER","Normal")</f>
        <v>Normal</v>
      </c>
      <c r="P830" t="str">
        <f>IF(OR(N830&lt;'EDA Analysis'!$E$6,N830&gt;'EDA Analysis'!$E$7),"OUTLIER","Normal")</f>
        <v>Normal</v>
      </c>
    </row>
    <row r="831" spans="1:16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  <c r="O831" t="str">
        <f>IF(OR(F831&lt;'EDA Analysis'!$B$22,F831&gt;'EDA Analysis'!$B$23),"OUTLIER","Normal")</f>
        <v>Normal</v>
      </c>
      <c r="P831" t="str">
        <f>IF(OR(N831&lt;'EDA Analysis'!$E$6,N831&gt;'EDA Analysis'!$E$7),"OUTLIER","Normal")</f>
        <v>Normal</v>
      </c>
    </row>
    <row r="832" spans="1:16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  <c r="O832" t="str">
        <f>IF(OR(F832&lt;'EDA Analysis'!$B$22,F832&gt;'EDA Analysis'!$B$23),"OUTLIER","Normal")</f>
        <v>Normal</v>
      </c>
      <c r="P832" t="str">
        <f>IF(OR(N832&lt;'EDA Analysis'!$E$6,N832&gt;'EDA Analysis'!$E$7),"OUTLIER","Normal")</f>
        <v>Normal</v>
      </c>
    </row>
    <row r="833" spans="1:16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  <c r="O833" t="str">
        <f>IF(OR(F833&lt;'EDA Analysis'!$B$22,F833&gt;'EDA Analysis'!$B$23),"OUTLIER","Normal")</f>
        <v>Normal</v>
      </c>
      <c r="P833" t="str">
        <f>IF(OR(N833&lt;'EDA Analysis'!$E$6,N833&gt;'EDA Analysis'!$E$7),"OUTLIER","Normal")</f>
        <v>Normal</v>
      </c>
    </row>
    <row r="834" spans="1:16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  <c r="O834" t="str">
        <f>IF(OR(F834&lt;'EDA Analysis'!$B$22,F834&gt;'EDA Analysis'!$B$23),"OUTLIER","Normal")</f>
        <v>Normal</v>
      </c>
      <c r="P834" t="str">
        <f>IF(OR(N834&lt;'EDA Analysis'!$E$6,N834&gt;'EDA Analysis'!$E$7),"OUTLIER","Normal")</f>
        <v>Normal</v>
      </c>
    </row>
    <row r="835" spans="1:16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  <c r="O835" t="str">
        <f>IF(OR(F835&lt;'EDA Analysis'!$B$22,F835&gt;'EDA Analysis'!$B$23),"OUTLIER","Normal")</f>
        <v>Normal</v>
      </c>
      <c r="P835" t="str">
        <f>IF(OR(N835&lt;'EDA Analysis'!$E$6,N835&gt;'EDA Analysis'!$E$7),"OUTLIER","Normal")</f>
        <v>Normal</v>
      </c>
    </row>
    <row r="836" spans="1:16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  <c r="O836" t="str">
        <f>IF(OR(F836&lt;'EDA Analysis'!$B$22,F836&gt;'EDA Analysis'!$B$23),"OUTLIER","Normal")</f>
        <v>Normal</v>
      </c>
      <c r="P836" t="str">
        <f>IF(OR(N836&lt;'EDA Analysis'!$E$6,N836&gt;'EDA Analysis'!$E$7),"OUTLIER","Normal")</f>
        <v>Normal</v>
      </c>
    </row>
    <row r="837" spans="1:16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  <c r="O837" t="str">
        <f>IF(OR(F837&lt;'EDA Analysis'!$B$22,F837&gt;'EDA Analysis'!$B$23),"OUTLIER","Normal")</f>
        <v>Normal</v>
      </c>
      <c r="P837" t="str">
        <f>IF(OR(N837&lt;'EDA Analysis'!$E$6,N837&gt;'EDA Analysis'!$E$7),"OUTLIER","Normal")</f>
        <v>Normal</v>
      </c>
    </row>
    <row r="838" spans="1:16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  <c r="O838" t="str">
        <f>IF(OR(F838&lt;'EDA Analysis'!$B$22,F838&gt;'EDA Analysis'!$B$23),"OUTLIER","Normal")</f>
        <v>Normal</v>
      </c>
      <c r="P838" t="str">
        <f>IF(OR(N838&lt;'EDA Analysis'!$E$6,N838&gt;'EDA Analysis'!$E$7),"OUTLIER","Normal")</f>
        <v>Normal</v>
      </c>
    </row>
    <row r="839" spans="1:16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  <c r="O839" t="str">
        <f>IF(OR(F839&lt;'EDA Analysis'!$B$22,F839&gt;'EDA Analysis'!$B$23),"OUTLIER","Normal")</f>
        <v>Normal</v>
      </c>
      <c r="P839" t="str">
        <f>IF(OR(N839&lt;'EDA Analysis'!$E$6,N839&gt;'EDA Analysis'!$E$7),"OUTLIER","Normal")</f>
        <v>Normal</v>
      </c>
    </row>
    <row r="840" spans="1:16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  <c r="O840" t="str">
        <f>IF(OR(F840&lt;'EDA Analysis'!$B$22,F840&gt;'EDA Analysis'!$B$23),"OUTLIER","Normal")</f>
        <v>Normal</v>
      </c>
      <c r="P840" t="str">
        <f>IF(OR(N840&lt;'EDA Analysis'!$E$6,N840&gt;'EDA Analysis'!$E$7),"OUTLIER","Normal")</f>
        <v>Normal</v>
      </c>
    </row>
    <row r="841" spans="1:16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  <c r="O841" t="str">
        <f>IF(OR(F841&lt;'EDA Analysis'!$B$22,F841&gt;'EDA Analysis'!$B$23),"OUTLIER","Normal")</f>
        <v>Normal</v>
      </c>
      <c r="P841" t="str">
        <f>IF(OR(N841&lt;'EDA Analysis'!$E$6,N841&gt;'EDA Analysis'!$E$7),"OUTLIER","Normal")</f>
        <v>Normal</v>
      </c>
    </row>
    <row r="842" spans="1:16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  <c r="O842" t="str">
        <f>IF(OR(F842&lt;'EDA Analysis'!$B$22,F842&gt;'EDA Analysis'!$B$23),"OUTLIER","Normal")</f>
        <v>Normal</v>
      </c>
      <c r="P842" t="str">
        <f>IF(OR(N842&lt;'EDA Analysis'!$E$6,N842&gt;'EDA Analysis'!$E$7),"OUTLIER","Normal")</f>
        <v>Normal</v>
      </c>
    </row>
    <row r="843" spans="1:16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  <c r="O843" t="str">
        <f>IF(OR(F843&lt;'EDA Analysis'!$B$22,F843&gt;'EDA Analysis'!$B$23),"OUTLIER","Normal")</f>
        <v>Normal</v>
      </c>
      <c r="P843" t="str">
        <f>IF(OR(N843&lt;'EDA Analysis'!$E$6,N843&gt;'EDA Analysis'!$E$7),"OUTLIER","Normal")</f>
        <v>Normal</v>
      </c>
    </row>
    <row r="844" spans="1:16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  <c r="O844" t="str">
        <f>IF(OR(F844&lt;'EDA Analysis'!$B$22,F844&gt;'EDA Analysis'!$B$23),"OUTLIER","Normal")</f>
        <v>Normal</v>
      </c>
      <c r="P844" t="str">
        <f>IF(OR(N844&lt;'EDA Analysis'!$E$6,N844&gt;'EDA Analysis'!$E$7),"OUTLIER","Normal")</f>
        <v>Normal</v>
      </c>
    </row>
    <row r="845" spans="1:16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  <c r="O845" t="str">
        <f>IF(OR(F845&lt;'EDA Analysis'!$B$22,F845&gt;'EDA Analysis'!$B$23),"OUTLIER","Normal")</f>
        <v>Normal</v>
      </c>
      <c r="P845" t="str">
        <f>IF(OR(N845&lt;'EDA Analysis'!$E$6,N845&gt;'EDA Analysis'!$E$7),"OUTLIER","Normal")</f>
        <v>Normal</v>
      </c>
    </row>
    <row r="846" spans="1:16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  <c r="O846" t="str">
        <f>IF(OR(F846&lt;'EDA Analysis'!$B$22,F846&gt;'EDA Analysis'!$B$23),"OUTLIER","Normal")</f>
        <v>Normal</v>
      </c>
      <c r="P846" t="str">
        <f>IF(OR(N846&lt;'EDA Analysis'!$E$6,N846&gt;'EDA Analysis'!$E$7),"OUTLIER","Normal")</f>
        <v>Normal</v>
      </c>
    </row>
    <row r="847" spans="1:16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  <c r="O847" t="str">
        <f>IF(OR(F847&lt;'EDA Analysis'!$B$22,F847&gt;'EDA Analysis'!$B$23),"OUTLIER","Normal")</f>
        <v>Normal</v>
      </c>
      <c r="P847" t="str">
        <f>IF(OR(N847&lt;'EDA Analysis'!$E$6,N847&gt;'EDA Analysis'!$E$7),"OUTLIER","Normal")</f>
        <v>Normal</v>
      </c>
    </row>
    <row r="848" spans="1:16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  <c r="O848" t="str">
        <f>IF(OR(F848&lt;'EDA Analysis'!$B$22,F848&gt;'EDA Analysis'!$B$23),"OUTLIER","Normal")</f>
        <v>Normal</v>
      </c>
      <c r="P848" t="str">
        <f>IF(OR(N848&lt;'EDA Analysis'!$E$6,N848&gt;'EDA Analysis'!$E$7),"OUTLIER","Normal")</f>
        <v>Normal</v>
      </c>
    </row>
    <row r="849" spans="1:16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  <c r="O849" t="str">
        <f>IF(OR(F849&lt;'EDA Analysis'!$B$22,F849&gt;'EDA Analysis'!$B$23),"OUTLIER","Normal")</f>
        <v>Normal</v>
      </c>
      <c r="P849" t="str">
        <f>IF(OR(N849&lt;'EDA Analysis'!$E$6,N849&gt;'EDA Analysis'!$E$7),"OUTLIER","Normal")</f>
        <v>Normal</v>
      </c>
    </row>
    <row r="850" spans="1:16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  <c r="O850" t="str">
        <f>IF(OR(F850&lt;'EDA Analysis'!$B$22,F850&gt;'EDA Analysis'!$B$23),"OUTLIER","Normal")</f>
        <v>Normal</v>
      </c>
      <c r="P850" t="str">
        <f>IF(OR(N850&lt;'EDA Analysis'!$E$6,N850&gt;'EDA Analysis'!$E$7),"OUTLIER","Normal")</f>
        <v>Normal</v>
      </c>
    </row>
    <row r="851" spans="1:16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  <c r="O851" t="str">
        <f>IF(OR(F851&lt;'EDA Analysis'!$B$22,F851&gt;'EDA Analysis'!$B$23),"OUTLIER","Normal")</f>
        <v>Normal</v>
      </c>
      <c r="P851" t="str">
        <f>IF(OR(N851&lt;'EDA Analysis'!$E$6,N851&gt;'EDA Analysis'!$E$7),"OUTLIER","Normal")</f>
        <v>Normal</v>
      </c>
    </row>
    <row r="852" spans="1:16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  <c r="O852" t="str">
        <f>IF(OR(F852&lt;'EDA Analysis'!$B$22,F852&gt;'EDA Analysis'!$B$23),"OUTLIER","Normal")</f>
        <v>Normal</v>
      </c>
      <c r="P852" t="str">
        <f>IF(OR(N852&lt;'EDA Analysis'!$E$6,N852&gt;'EDA Analysis'!$E$7),"OUTLIER","Normal")</f>
        <v>Normal</v>
      </c>
    </row>
    <row r="853" spans="1:16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  <c r="O853" t="str">
        <f>IF(OR(F853&lt;'EDA Analysis'!$B$22,F853&gt;'EDA Analysis'!$B$23),"OUTLIER","Normal")</f>
        <v>Normal</v>
      </c>
      <c r="P853" t="str">
        <f>IF(OR(N853&lt;'EDA Analysis'!$E$6,N853&gt;'EDA Analysis'!$E$7),"OUTLIER","Normal")</f>
        <v>Normal</v>
      </c>
    </row>
    <row r="854" spans="1:16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  <c r="O854" t="str">
        <f>IF(OR(F854&lt;'EDA Analysis'!$B$22,F854&gt;'EDA Analysis'!$B$23),"OUTLIER","Normal")</f>
        <v>Normal</v>
      </c>
      <c r="P854" t="str">
        <f>IF(OR(N854&lt;'EDA Analysis'!$E$6,N854&gt;'EDA Analysis'!$E$7),"OUTLIER","Normal")</f>
        <v>Normal</v>
      </c>
    </row>
    <row r="855" spans="1:16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  <c r="O855" t="str">
        <f>IF(OR(F855&lt;'EDA Analysis'!$B$22,F855&gt;'EDA Analysis'!$B$23),"OUTLIER","Normal")</f>
        <v>Normal</v>
      </c>
      <c r="P855" t="str">
        <f>IF(OR(N855&lt;'EDA Analysis'!$E$6,N855&gt;'EDA Analysis'!$E$7),"OUTLIER","Normal")</f>
        <v>Normal</v>
      </c>
    </row>
    <row r="856" spans="1:16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  <c r="O856" t="str">
        <f>IF(OR(F856&lt;'EDA Analysis'!$B$22,F856&gt;'EDA Analysis'!$B$23),"OUTLIER","Normal")</f>
        <v>Normal</v>
      </c>
      <c r="P856" t="str">
        <f>IF(OR(N856&lt;'EDA Analysis'!$E$6,N856&gt;'EDA Analysis'!$E$7),"OUTLIER","Normal")</f>
        <v>Normal</v>
      </c>
    </row>
    <row r="857" spans="1:16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  <c r="O857" t="str">
        <f>IF(OR(F857&lt;'EDA Analysis'!$B$22,F857&gt;'EDA Analysis'!$B$23),"OUTLIER","Normal")</f>
        <v>Normal</v>
      </c>
      <c r="P857" t="str">
        <f>IF(OR(N857&lt;'EDA Analysis'!$E$6,N857&gt;'EDA Analysis'!$E$7),"OUTLIER","Normal")</f>
        <v>Normal</v>
      </c>
    </row>
    <row r="858" spans="1:16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  <c r="O858" t="str">
        <f>IF(OR(F858&lt;'EDA Analysis'!$B$22,F858&gt;'EDA Analysis'!$B$23),"OUTLIER","Normal")</f>
        <v>Normal</v>
      </c>
      <c r="P858" t="str">
        <f>IF(OR(N858&lt;'EDA Analysis'!$E$6,N858&gt;'EDA Analysis'!$E$7),"OUTLIER","Normal")</f>
        <v>Normal</v>
      </c>
    </row>
    <row r="859" spans="1:16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  <c r="O859" t="str">
        <f>IF(OR(F859&lt;'EDA Analysis'!$B$22,F859&gt;'EDA Analysis'!$B$23),"OUTLIER","Normal")</f>
        <v>Normal</v>
      </c>
      <c r="P859" t="str">
        <f>IF(OR(N859&lt;'EDA Analysis'!$E$6,N859&gt;'EDA Analysis'!$E$7),"OUTLIER","Normal")</f>
        <v>Normal</v>
      </c>
    </row>
    <row r="860" spans="1:16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  <c r="O860" t="str">
        <f>IF(OR(F860&lt;'EDA Analysis'!$B$22,F860&gt;'EDA Analysis'!$B$23),"OUTLIER","Normal")</f>
        <v>Normal</v>
      </c>
      <c r="P860" t="str">
        <f>IF(OR(N860&lt;'EDA Analysis'!$E$6,N860&gt;'EDA Analysis'!$E$7),"OUTLIER","Normal")</f>
        <v>Normal</v>
      </c>
    </row>
    <row r="861" spans="1:16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  <c r="O861" t="str">
        <f>IF(OR(F861&lt;'EDA Analysis'!$B$22,F861&gt;'EDA Analysis'!$B$23),"OUTLIER","Normal")</f>
        <v>Normal</v>
      </c>
      <c r="P861" t="str">
        <f>IF(OR(N861&lt;'EDA Analysis'!$E$6,N861&gt;'EDA Analysis'!$E$7),"OUTLIER","Normal")</f>
        <v>Normal</v>
      </c>
    </row>
    <row r="862" spans="1:16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  <c r="O862" t="str">
        <f>IF(OR(F862&lt;'EDA Analysis'!$B$22,F862&gt;'EDA Analysis'!$B$23),"OUTLIER","Normal")</f>
        <v>Normal</v>
      </c>
      <c r="P862" t="str">
        <f>IF(OR(N862&lt;'EDA Analysis'!$E$6,N862&gt;'EDA Analysis'!$E$7),"OUTLIER","Normal")</f>
        <v>Normal</v>
      </c>
    </row>
    <row r="863" spans="1:16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  <c r="O863" t="str">
        <f>IF(OR(F863&lt;'EDA Analysis'!$B$22,F863&gt;'EDA Analysis'!$B$23),"OUTLIER","Normal")</f>
        <v>Normal</v>
      </c>
      <c r="P863" t="str">
        <f>IF(OR(N863&lt;'EDA Analysis'!$E$6,N863&gt;'EDA Analysis'!$E$7),"OUTLIER","Normal")</f>
        <v>Normal</v>
      </c>
    </row>
    <row r="864" spans="1:16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  <c r="O864" t="str">
        <f>IF(OR(F864&lt;'EDA Analysis'!$B$22,F864&gt;'EDA Analysis'!$B$23),"OUTLIER","Normal")</f>
        <v>Normal</v>
      </c>
      <c r="P864" t="str">
        <f>IF(OR(N864&lt;'EDA Analysis'!$E$6,N864&gt;'EDA Analysis'!$E$7),"OUTLIER","Normal")</f>
        <v>Normal</v>
      </c>
    </row>
    <row r="865" spans="1:16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  <c r="O865" t="str">
        <f>IF(OR(F865&lt;'EDA Analysis'!$B$22,F865&gt;'EDA Analysis'!$B$23),"OUTLIER","Normal")</f>
        <v>Normal</v>
      </c>
      <c r="P865" t="str">
        <f>IF(OR(N865&lt;'EDA Analysis'!$E$6,N865&gt;'EDA Analysis'!$E$7),"OUTLIER","Normal")</f>
        <v>Normal</v>
      </c>
    </row>
    <row r="866" spans="1:16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  <c r="O866" t="str">
        <f>IF(OR(F866&lt;'EDA Analysis'!$B$22,F866&gt;'EDA Analysis'!$B$23),"OUTLIER","Normal")</f>
        <v>Normal</v>
      </c>
      <c r="P866" t="str">
        <f>IF(OR(N866&lt;'EDA Analysis'!$E$6,N866&gt;'EDA Analysis'!$E$7),"OUTLIER","Normal")</f>
        <v>Normal</v>
      </c>
    </row>
    <row r="867" spans="1:16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  <c r="O867" t="str">
        <f>IF(OR(F867&lt;'EDA Analysis'!$B$22,F867&gt;'EDA Analysis'!$B$23),"OUTLIER","Normal")</f>
        <v>Normal</v>
      </c>
      <c r="P867" t="str">
        <f>IF(OR(N867&lt;'EDA Analysis'!$E$6,N867&gt;'EDA Analysis'!$E$7),"OUTLIER","Normal")</f>
        <v>Normal</v>
      </c>
    </row>
    <row r="868" spans="1:16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  <c r="O868" t="str">
        <f>IF(OR(F868&lt;'EDA Analysis'!$B$22,F868&gt;'EDA Analysis'!$B$23),"OUTLIER","Normal")</f>
        <v>Normal</v>
      </c>
      <c r="P868" t="str">
        <f>IF(OR(N868&lt;'EDA Analysis'!$E$6,N868&gt;'EDA Analysis'!$E$7),"OUTLIER","Normal")</f>
        <v>Normal</v>
      </c>
    </row>
    <row r="869" spans="1:16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  <c r="O869" t="str">
        <f>IF(OR(F869&lt;'EDA Analysis'!$B$22,F869&gt;'EDA Analysis'!$B$23),"OUTLIER","Normal")</f>
        <v>Normal</v>
      </c>
      <c r="P869" t="str">
        <f>IF(OR(N869&lt;'EDA Analysis'!$E$6,N869&gt;'EDA Analysis'!$E$7),"OUTLIER","Normal")</f>
        <v>Normal</v>
      </c>
    </row>
    <row r="870" spans="1:16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  <c r="O870" t="str">
        <f>IF(OR(F870&lt;'EDA Analysis'!$B$22,F870&gt;'EDA Analysis'!$B$23),"OUTLIER","Normal")</f>
        <v>Normal</v>
      </c>
      <c r="P870" t="str">
        <f>IF(OR(N870&lt;'EDA Analysis'!$E$6,N870&gt;'EDA Analysis'!$E$7),"OUTLIER","Normal")</f>
        <v>Normal</v>
      </c>
    </row>
    <row r="871" spans="1:16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  <c r="O871" t="str">
        <f>IF(OR(F871&lt;'EDA Analysis'!$B$22,F871&gt;'EDA Analysis'!$B$23),"OUTLIER","Normal")</f>
        <v>Normal</v>
      </c>
      <c r="P871" t="str">
        <f>IF(OR(N871&lt;'EDA Analysis'!$E$6,N871&gt;'EDA Analysis'!$E$7),"OUTLIER","Normal")</f>
        <v>Normal</v>
      </c>
    </row>
    <row r="872" spans="1:16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  <c r="O872" t="str">
        <f>IF(OR(F872&lt;'EDA Analysis'!$B$22,F872&gt;'EDA Analysis'!$B$23),"OUTLIER","Normal")</f>
        <v>Normal</v>
      </c>
      <c r="P872" t="str">
        <f>IF(OR(N872&lt;'EDA Analysis'!$E$6,N872&gt;'EDA Analysis'!$E$7),"OUTLIER","Normal")</f>
        <v>Normal</v>
      </c>
    </row>
    <row r="873" spans="1:16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  <c r="O873" t="str">
        <f>IF(OR(F873&lt;'EDA Analysis'!$B$22,F873&gt;'EDA Analysis'!$B$23),"OUTLIER","Normal")</f>
        <v>Normal</v>
      </c>
      <c r="P873" t="str">
        <f>IF(OR(N873&lt;'EDA Analysis'!$E$6,N873&gt;'EDA Analysis'!$E$7),"OUTLIER","Normal")</f>
        <v>Normal</v>
      </c>
    </row>
    <row r="874" spans="1:16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  <c r="O874" t="str">
        <f>IF(OR(F874&lt;'EDA Analysis'!$B$22,F874&gt;'EDA Analysis'!$B$23),"OUTLIER","Normal")</f>
        <v>Normal</v>
      </c>
      <c r="P874" t="str">
        <f>IF(OR(N874&lt;'EDA Analysis'!$E$6,N874&gt;'EDA Analysis'!$E$7),"OUTLIER","Normal")</f>
        <v>Normal</v>
      </c>
    </row>
    <row r="875" spans="1:16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  <c r="O875" t="str">
        <f>IF(OR(F875&lt;'EDA Analysis'!$B$22,F875&gt;'EDA Analysis'!$B$23),"OUTLIER","Normal")</f>
        <v>Normal</v>
      </c>
      <c r="P875" t="str">
        <f>IF(OR(N875&lt;'EDA Analysis'!$E$6,N875&gt;'EDA Analysis'!$E$7),"OUTLIER","Normal")</f>
        <v>Normal</v>
      </c>
    </row>
    <row r="876" spans="1:16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  <c r="O876" t="str">
        <f>IF(OR(F876&lt;'EDA Analysis'!$B$22,F876&gt;'EDA Analysis'!$B$23),"OUTLIER","Normal")</f>
        <v>Normal</v>
      </c>
      <c r="P876" t="str">
        <f>IF(OR(N876&lt;'EDA Analysis'!$E$6,N876&gt;'EDA Analysis'!$E$7),"OUTLIER","Normal")</f>
        <v>Normal</v>
      </c>
    </row>
    <row r="877" spans="1:16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  <c r="O877" t="str">
        <f>IF(OR(F877&lt;'EDA Analysis'!$B$22,F877&gt;'EDA Analysis'!$B$23),"OUTLIER","Normal")</f>
        <v>Normal</v>
      </c>
      <c r="P877" t="str">
        <f>IF(OR(N877&lt;'EDA Analysis'!$E$6,N877&gt;'EDA Analysis'!$E$7),"OUTLIER","Normal")</f>
        <v>Normal</v>
      </c>
    </row>
    <row r="878" spans="1:16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  <c r="O878" t="str">
        <f>IF(OR(F878&lt;'EDA Analysis'!$B$22,F878&gt;'EDA Analysis'!$B$23),"OUTLIER","Normal")</f>
        <v>Normal</v>
      </c>
      <c r="P878" t="str">
        <f>IF(OR(N878&lt;'EDA Analysis'!$E$6,N878&gt;'EDA Analysis'!$E$7),"OUTLIER","Normal")</f>
        <v>Normal</v>
      </c>
    </row>
    <row r="879" spans="1:16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  <c r="O879" t="str">
        <f>IF(OR(F879&lt;'EDA Analysis'!$B$22,F879&gt;'EDA Analysis'!$B$23),"OUTLIER","Normal")</f>
        <v>Normal</v>
      </c>
      <c r="P879" t="str">
        <f>IF(OR(N879&lt;'EDA Analysis'!$E$6,N879&gt;'EDA Analysis'!$E$7),"OUTLIER","Normal")</f>
        <v>Normal</v>
      </c>
    </row>
    <row r="880" spans="1:16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  <c r="O880" t="str">
        <f>IF(OR(F880&lt;'EDA Analysis'!$B$22,F880&gt;'EDA Analysis'!$B$23),"OUTLIER","Normal")</f>
        <v>Normal</v>
      </c>
      <c r="P880" t="str">
        <f>IF(OR(N880&lt;'EDA Analysis'!$E$6,N880&gt;'EDA Analysis'!$E$7),"OUTLIER","Normal")</f>
        <v>Normal</v>
      </c>
    </row>
    <row r="881" spans="1:16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  <c r="O881" t="str">
        <f>IF(OR(F881&lt;'EDA Analysis'!$B$22,F881&gt;'EDA Analysis'!$B$23),"OUTLIER","Normal")</f>
        <v>Normal</v>
      </c>
      <c r="P881" t="str">
        <f>IF(OR(N881&lt;'EDA Analysis'!$E$6,N881&gt;'EDA Analysis'!$E$7),"OUTLIER","Normal")</f>
        <v>Normal</v>
      </c>
    </row>
    <row r="882" spans="1:16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  <c r="O882" t="str">
        <f>IF(OR(F882&lt;'EDA Analysis'!$B$22,F882&gt;'EDA Analysis'!$B$23),"OUTLIER","Normal")</f>
        <v>Normal</v>
      </c>
      <c r="P882" t="str">
        <f>IF(OR(N882&lt;'EDA Analysis'!$E$6,N882&gt;'EDA Analysis'!$E$7),"OUTLIER","Normal")</f>
        <v>Normal</v>
      </c>
    </row>
    <row r="883" spans="1:16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  <c r="O883" t="str">
        <f>IF(OR(F883&lt;'EDA Analysis'!$B$22,F883&gt;'EDA Analysis'!$B$23),"OUTLIER","Normal")</f>
        <v>Normal</v>
      </c>
      <c r="P883" t="str">
        <f>IF(OR(N883&lt;'EDA Analysis'!$E$6,N883&gt;'EDA Analysis'!$E$7),"OUTLIER","Normal")</f>
        <v>Normal</v>
      </c>
    </row>
    <row r="884" spans="1:16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  <c r="O884" t="str">
        <f>IF(OR(F884&lt;'EDA Analysis'!$B$22,F884&gt;'EDA Analysis'!$B$23),"OUTLIER","Normal")</f>
        <v>Normal</v>
      </c>
      <c r="P884" t="str">
        <f>IF(OR(N884&lt;'EDA Analysis'!$E$6,N884&gt;'EDA Analysis'!$E$7),"OUTLIER","Normal")</f>
        <v>Normal</v>
      </c>
    </row>
    <row r="885" spans="1:16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  <c r="O885" t="str">
        <f>IF(OR(F885&lt;'EDA Analysis'!$B$22,F885&gt;'EDA Analysis'!$B$23),"OUTLIER","Normal")</f>
        <v>Normal</v>
      </c>
      <c r="P885" t="str">
        <f>IF(OR(N885&lt;'EDA Analysis'!$E$6,N885&gt;'EDA Analysis'!$E$7),"OUTLIER","Normal")</f>
        <v>Normal</v>
      </c>
    </row>
    <row r="886" spans="1:16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  <c r="O886" t="str">
        <f>IF(OR(F886&lt;'EDA Analysis'!$B$22,F886&gt;'EDA Analysis'!$B$23),"OUTLIER","Normal")</f>
        <v>Normal</v>
      </c>
      <c r="P886" t="str">
        <f>IF(OR(N886&lt;'EDA Analysis'!$E$6,N886&gt;'EDA Analysis'!$E$7),"OUTLIER","Normal")</f>
        <v>Normal</v>
      </c>
    </row>
    <row r="887" spans="1:16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  <c r="O887" t="str">
        <f>IF(OR(F887&lt;'EDA Analysis'!$B$22,F887&gt;'EDA Analysis'!$B$23),"OUTLIER","Normal")</f>
        <v>Normal</v>
      </c>
      <c r="P887" t="str">
        <f>IF(OR(N887&lt;'EDA Analysis'!$E$6,N887&gt;'EDA Analysis'!$E$7),"OUTLIER","Normal")</f>
        <v>Normal</v>
      </c>
    </row>
    <row r="888" spans="1:16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  <c r="O888" t="str">
        <f>IF(OR(F888&lt;'EDA Analysis'!$B$22,F888&gt;'EDA Analysis'!$B$23),"OUTLIER","Normal")</f>
        <v>Normal</v>
      </c>
      <c r="P888" t="str">
        <f>IF(OR(N888&lt;'EDA Analysis'!$E$6,N888&gt;'EDA Analysis'!$E$7),"OUTLIER","Normal")</f>
        <v>Normal</v>
      </c>
    </row>
    <row r="889" spans="1:16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  <c r="O889" t="str">
        <f>IF(OR(F889&lt;'EDA Analysis'!$B$22,F889&gt;'EDA Analysis'!$B$23),"OUTLIER","Normal")</f>
        <v>Normal</v>
      </c>
      <c r="P889" t="str">
        <f>IF(OR(N889&lt;'EDA Analysis'!$E$6,N889&gt;'EDA Analysis'!$E$7),"OUTLIER","Normal")</f>
        <v>Normal</v>
      </c>
    </row>
    <row r="890" spans="1:16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  <c r="O890" t="str">
        <f>IF(OR(F890&lt;'EDA Analysis'!$B$22,F890&gt;'EDA Analysis'!$B$23),"OUTLIER","Normal")</f>
        <v>Normal</v>
      </c>
      <c r="P890" t="str">
        <f>IF(OR(N890&lt;'EDA Analysis'!$E$6,N890&gt;'EDA Analysis'!$E$7),"OUTLIER","Normal")</f>
        <v>Normal</v>
      </c>
    </row>
    <row r="891" spans="1:16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  <c r="O891" t="str">
        <f>IF(OR(F891&lt;'EDA Analysis'!$B$22,F891&gt;'EDA Analysis'!$B$23),"OUTLIER","Normal")</f>
        <v>Normal</v>
      </c>
      <c r="P891" t="str">
        <f>IF(OR(N891&lt;'EDA Analysis'!$E$6,N891&gt;'EDA Analysis'!$E$7),"OUTLIER","Normal")</f>
        <v>Normal</v>
      </c>
    </row>
    <row r="892" spans="1:16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  <c r="O892" t="str">
        <f>IF(OR(F892&lt;'EDA Analysis'!$B$22,F892&gt;'EDA Analysis'!$B$23),"OUTLIER","Normal")</f>
        <v>Normal</v>
      </c>
      <c r="P892" t="str">
        <f>IF(OR(N892&lt;'EDA Analysis'!$E$6,N892&gt;'EDA Analysis'!$E$7),"OUTLIER","Normal")</f>
        <v>Normal</v>
      </c>
    </row>
    <row r="893" spans="1:16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  <c r="O893" t="str">
        <f>IF(OR(F893&lt;'EDA Analysis'!$B$22,F893&gt;'EDA Analysis'!$B$23),"OUTLIER","Normal")</f>
        <v>Normal</v>
      </c>
      <c r="P893" t="str">
        <f>IF(OR(N893&lt;'EDA Analysis'!$E$6,N893&gt;'EDA Analysis'!$E$7),"OUTLIER","Normal")</f>
        <v>Normal</v>
      </c>
    </row>
    <row r="894" spans="1:16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  <c r="O894" t="str">
        <f>IF(OR(F894&lt;'EDA Analysis'!$B$22,F894&gt;'EDA Analysis'!$B$23),"OUTLIER","Normal")</f>
        <v>Normal</v>
      </c>
      <c r="P894" t="str">
        <f>IF(OR(N894&lt;'EDA Analysis'!$E$6,N894&gt;'EDA Analysis'!$E$7),"OUTLIER","Normal")</f>
        <v>Normal</v>
      </c>
    </row>
    <row r="895" spans="1:16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  <c r="O895" t="str">
        <f>IF(OR(F895&lt;'EDA Analysis'!$B$22,F895&gt;'EDA Analysis'!$B$23),"OUTLIER","Normal")</f>
        <v>Normal</v>
      </c>
      <c r="P895" t="str">
        <f>IF(OR(N895&lt;'EDA Analysis'!$E$6,N895&gt;'EDA Analysis'!$E$7),"OUTLIER","Normal")</f>
        <v>Normal</v>
      </c>
    </row>
    <row r="896" spans="1:16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  <c r="O896" t="str">
        <f>IF(OR(F896&lt;'EDA Analysis'!$B$22,F896&gt;'EDA Analysis'!$B$23),"OUTLIER","Normal")</f>
        <v>Normal</v>
      </c>
      <c r="P896" t="str">
        <f>IF(OR(N896&lt;'EDA Analysis'!$E$6,N896&gt;'EDA Analysis'!$E$7),"OUTLIER","Normal")</f>
        <v>Normal</v>
      </c>
    </row>
    <row r="897" spans="1:16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  <c r="O897" t="str">
        <f>IF(OR(F897&lt;'EDA Analysis'!$B$22,F897&gt;'EDA Analysis'!$B$23),"OUTLIER","Normal")</f>
        <v>Normal</v>
      </c>
      <c r="P897" t="str">
        <f>IF(OR(N897&lt;'EDA Analysis'!$E$6,N897&gt;'EDA Analysis'!$E$7),"OUTLIER","Normal")</f>
        <v>Normal</v>
      </c>
    </row>
    <row r="898" spans="1:16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  <c r="O898" t="str">
        <f>IF(OR(F898&lt;'EDA Analysis'!$B$22,F898&gt;'EDA Analysis'!$B$23),"OUTLIER","Normal")</f>
        <v>Normal</v>
      </c>
      <c r="P898" t="str">
        <f>IF(OR(N898&lt;'EDA Analysis'!$E$6,N898&gt;'EDA Analysis'!$E$7),"OUTLIER","Normal")</f>
        <v>Normal</v>
      </c>
    </row>
    <row r="899" spans="1:16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  <c r="O899" t="str">
        <f>IF(OR(F899&lt;'EDA Analysis'!$B$22,F899&gt;'EDA Analysis'!$B$23),"OUTLIER","Normal")</f>
        <v>Normal</v>
      </c>
      <c r="P899" t="str">
        <f>IF(OR(N899&lt;'EDA Analysis'!$E$6,N899&gt;'EDA Analysis'!$E$7),"OUTLIER","Normal")</f>
        <v>Normal</v>
      </c>
    </row>
    <row r="900" spans="1:16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  <c r="O900" t="str">
        <f>IF(OR(F900&lt;'EDA Analysis'!$B$22,F900&gt;'EDA Analysis'!$B$23),"OUTLIER","Normal")</f>
        <v>Normal</v>
      </c>
      <c r="P900" t="str">
        <f>IF(OR(N900&lt;'EDA Analysis'!$E$6,N900&gt;'EDA Analysis'!$E$7),"OUTLIER","Normal")</f>
        <v>Normal</v>
      </c>
    </row>
    <row r="901" spans="1:16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  <c r="O901" t="str">
        <f>IF(OR(F901&lt;'EDA Analysis'!$B$22,F901&gt;'EDA Analysis'!$B$23),"OUTLIER","Normal")</f>
        <v>Normal</v>
      </c>
      <c r="P901" t="str">
        <f>IF(OR(N901&lt;'EDA Analysis'!$E$6,N901&gt;'EDA Analysis'!$E$7),"OUTLIER","Normal")</f>
        <v>Normal</v>
      </c>
    </row>
    <row r="902" spans="1:16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  <c r="O902" t="str">
        <f>IF(OR(F902&lt;'EDA Analysis'!$B$22,F902&gt;'EDA Analysis'!$B$23),"OUTLIER","Normal")</f>
        <v>Normal</v>
      </c>
      <c r="P902" t="str">
        <f>IF(OR(N902&lt;'EDA Analysis'!$E$6,N902&gt;'EDA Analysis'!$E$7),"OUTLIER","Normal")</f>
        <v>Normal</v>
      </c>
    </row>
    <row r="903" spans="1:16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  <c r="O903" t="str">
        <f>IF(OR(F903&lt;'EDA Analysis'!$B$22,F903&gt;'EDA Analysis'!$B$23),"OUTLIER","Normal")</f>
        <v>Normal</v>
      </c>
      <c r="P903" t="str">
        <f>IF(OR(N903&lt;'EDA Analysis'!$E$6,N903&gt;'EDA Analysis'!$E$7),"OUTLIER","Normal")</f>
        <v>Normal</v>
      </c>
    </row>
    <row r="904" spans="1:16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  <c r="O904" t="str">
        <f>IF(OR(F904&lt;'EDA Analysis'!$B$22,F904&gt;'EDA Analysis'!$B$23),"OUTLIER","Normal")</f>
        <v>Normal</v>
      </c>
      <c r="P904" t="str">
        <f>IF(OR(N904&lt;'EDA Analysis'!$E$6,N904&gt;'EDA Analysis'!$E$7),"OUTLIER","Normal")</f>
        <v>Normal</v>
      </c>
    </row>
    <row r="905" spans="1:16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  <c r="O905" t="str">
        <f>IF(OR(F905&lt;'EDA Analysis'!$B$22,F905&gt;'EDA Analysis'!$B$23),"OUTLIER","Normal")</f>
        <v>Normal</v>
      </c>
      <c r="P905" t="str">
        <f>IF(OR(N905&lt;'EDA Analysis'!$E$6,N905&gt;'EDA Analysis'!$E$7),"OUTLIER","Normal")</f>
        <v>Normal</v>
      </c>
    </row>
    <row r="906" spans="1:16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  <c r="O906" t="str">
        <f>IF(OR(F906&lt;'EDA Analysis'!$B$22,F906&gt;'EDA Analysis'!$B$23),"OUTLIER","Normal")</f>
        <v>Normal</v>
      </c>
      <c r="P906" t="str">
        <f>IF(OR(N906&lt;'EDA Analysis'!$E$6,N906&gt;'EDA Analysis'!$E$7),"OUTLIER","Normal")</f>
        <v>Normal</v>
      </c>
    </row>
    <row r="907" spans="1:16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  <c r="O907" t="str">
        <f>IF(OR(F907&lt;'EDA Analysis'!$B$22,F907&gt;'EDA Analysis'!$B$23),"OUTLIER","Normal")</f>
        <v>Normal</v>
      </c>
      <c r="P907" t="str">
        <f>IF(OR(N907&lt;'EDA Analysis'!$E$6,N907&gt;'EDA Analysis'!$E$7),"OUTLIER","Normal")</f>
        <v>Normal</v>
      </c>
    </row>
    <row r="908" spans="1:16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  <c r="O908" t="str">
        <f>IF(OR(F908&lt;'EDA Analysis'!$B$22,F908&gt;'EDA Analysis'!$B$23),"OUTLIER","Normal")</f>
        <v>Normal</v>
      </c>
      <c r="P908" t="str">
        <f>IF(OR(N908&lt;'EDA Analysis'!$E$6,N908&gt;'EDA Analysis'!$E$7),"OUTLIER","Normal")</f>
        <v>Normal</v>
      </c>
    </row>
    <row r="909" spans="1:16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  <c r="O909" t="str">
        <f>IF(OR(F909&lt;'EDA Analysis'!$B$22,F909&gt;'EDA Analysis'!$B$23),"OUTLIER","Normal")</f>
        <v>Normal</v>
      </c>
      <c r="P909" t="str">
        <f>IF(OR(N909&lt;'EDA Analysis'!$E$6,N909&gt;'EDA Analysis'!$E$7),"OUTLIER","Normal")</f>
        <v>Normal</v>
      </c>
    </row>
    <row r="910" spans="1:16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  <c r="O910" t="str">
        <f>IF(OR(F910&lt;'EDA Analysis'!$B$22,F910&gt;'EDA Analysis'!$B$23),"OUTLIER","Normal")</f>
        <v>Normal</v>
      </c>
      <c r="P910" t="str">
        <f>IF(OR(N910&lt;'EDA Analysis'!$E$6,N910&gt;'EDA Analysis'!$E$7),"OUTLIER","Normal")</f>
        <v>Normal</v>
      </c>
    </row>
    <row r="911" spans="1:16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  <c r="O911" t="str">
        <f>IF(OR(F911&lt;'EDA Analysis'!$B$22,F911&gt;'EDA Analysis'!$B$23),"OUTLIER","Normal")</f>
        <v>Normal</v>
      </c>
      <c r="P911" t="str">
        <f>IF(OR(N911&lt;'EDA Analysis'!$E$6,N911&gt;'EDA Analysis'!$E$7),"OUTLIER","Normal")</f>
        <v>Normal</v>
      </c>
    </row>
    <row r="912" spans="1:16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  <c r="O912" t="str">
        <f>IF(OR(F912&lt;'EDA Analysis'!$B$22,F912&gt;'EDA Analysis'!$B$23),"OUTLIER","Normal")</f>
        <v>Normal</v>
      </c>
      <c r="P912" t="str">
        <f>IF(OR(N912&lt;'EDA Analysis'!$E$6,N912&gt;'EDA Analysis'!$E$7),"OUTLIER","Normal")</f>
        <v>Normal</v>
      </c>
    </row>
    <row r="913" spans="1:16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  <c r="O913" t="str">
        <f>IF(OR(F913&lt;'EDA Analysis'!$B$22,F913&gt;'EDA Analysis'!$B$23),"OUTLIER","Normal")</f>
        <v>Normal</v>
      </c>
      <c r="P913" t="str">
        <f>IF(OR(N913&lt;'EDA Analysis'!$E$6,N913&gt;'EDA Analysis'!$E$7),"OUTLIER","Normal")</f>
        <v>Normal</v>
      </c>
    </row>
    <row r="914" spans="1:16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  <c r="O914" t="str">
        <f>IF(OR(F914&lt;'EDA Analysis'!$B$22,F914&gt;'EDA Analysis'!$B$23),"OUTLIER","Normal")</f>
        <v>Normal</v>
      </c>
      <c r="P914" t="str">
        <f>IF(OR(N914&lt;'EDA Analysis'!$E$6,N914&gt;'EDA Analysis'!$E$7),"OUTLIER","Normal")</f>
        <v>Normal</v>
      </c>
    </row>
    <row r="915" spans="1:16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  <c r="O915" t="str">
        <f>IF(OR(F915&lt;'EDA Analysis'!$B$22,F915&gt;'EDA Analysis'!$B$23),"OUTLIER","Normal")</f>
        <v>Normal</v>
      </c>
      <c r="P915" t="str">
        <f>IF(OR(N915&lt;'EDA Analysis'!$E$6,N915&gt;'EDA Analysis'!$E$7),"OUTLIER","Normal")</f>
        <v>Normal</v>
      </c>
    </row>
    <row r="916" spans="1:16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  <c r="O916" t="str">
        <f>IF(OR(F916&lt;'EDA Analysis'!$B$22,F916&gt;'EDA Analysis'!$B$23),"OUTLIER","Normal")</f>
        <v>Normal</v>
      </c>
      <c r="P916" t="str">
        <f>IF(OR(N916&lt;'EDA Analysis'!$E$6,N916&gt;'EDA Analysis'!$E$7),"OUTLIER","Normal")</f>
        <v>Normal</v>
      </c>
    </row>
    <row r="917" spans="1:16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  <c r="O917" t="str">
        <f>IF(OR(F917&lt;'EDA Analysis'!$B$22,F917&gt;'EDA Analysis'!$B$23),"OUTLIER","Normal")</f>
        <v>Normal</v>
      </c>
      <c r="P917" t="str">
        <f>IF(OR(N917&lt;'EDA Analysis'!$E$6,N917&gt;'EDA Analysis'!$E$7),"OUTLIER","Normal")</f>
        <v>Normal</v>
      </c>
    </row>
    <row r="918" spans="1:16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  <c r="O918" t="str">
        <f>IF(OR(F918&lt;'EDA Analysis'!$B$22,F918&gt;'EDA Analysis'!$B$23),"OUTLIER","Normal")</f>
        <v>Normal</v>
      </c>
      <c r="P918" t="str">
        <f>IF(OR(N918&lt;'EDA Analysis'!$E$6,N918&gt;'EDA Analysis'!$E$7),"OUTLIER","Normal")</f>
        <v>Normal</v>
      </c>
    </row>
    <row r="919" spans="1:16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  <c r="O919" t="str">
        <f>IF(OR(F919&lt;'EDA Analysis'!$B$22,F919&gt;'EDA Analysis'!$B$23),"OUTLIER","Normal")</f>
        <v>Normal</v>
      </c>
      <c r="P919" t="str">
        <f>IF(OR(N919&lt;'EDA Analysis'!$E$6,N919&gt;'EDA Analysis'!$E$7),"OUTLIER","Normal")</f>
        <v>Normal</v>
      </c>
    </row>
    <row r="920" spans="1:16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  <c r="O920" t="str">
        <f>IF(OR(F920&lt;'EDA Analysis'!$B$22,F920&gt;'EDA Analysis'!$B$23),"OUTLIER","Normal")</f>
        <v>Normal</v>
      </c>
      <c r="P920" t="str">
        <f>IF(OR(N920&lt;'EDA Analysis'!$E$6,N920&gt;'EDA Analysis'!$E$7),"OUTLIER","Normal")</f>
        <v>Normal</v>
      </c>
    </row>
    <row r="921" spans="1:16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  <c r="O921" t="str">
        <f>IF(OR(F921&lt;'EDA Analysis'!$B$22,F921&gt;'EDA Analysis'!$B$23),"OUTLIER","Normal")</f>
        <v>Normal</v>
      </c>
      <c r="P921" t="str">
        <f>IF(OR(N921&lt;'EDA Analysis'!$E$6,N921&gt;'EDA Analysis'!$E$7),"OUTLIER","Normal")</f>
        <v>Normal</v>
      </c>
    </row>
    <row r="922" spans="1:16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  <c r="O922" t="str">
        <f>IF(OR(F922&lt;'EDA Analysis'!$B$22,F922&gt;'EDA Analysis'!$B$23),"OUTLIER","Normal")</f>
        <v>Normal</v>
      </c>
      <c r="P922" t="str">
        <f>IF(OR(N922&lt;'EDA Analysis'!$E$6,N922&gt;'EDA Analysis'!$E$7),"OUTLIER","Normal")</f>
        <v>Normal</v>
      </c>
    </row>
    <row r="923" spans="1:16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  <c r="O923" t="str">
        <f>IF(OR(F923&lt;'EDA Analysis'!$B$22,F923&gt;'EDA Analysis'!$B$23),"OUTLIER","Normal")</f>
        <v>Normal</v>
      </c>
      <c r="P923" t="str">
        <f>IF(OR(N923&lt;'EDA Analysis'!$E$6,N923&gt;'EDA Analysis'!$E$7),"OUTLIER","Normal")</f>
        <v>Normal</v>
      </c>
    </row>
    <row r="924" spans="1:16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  <c r="O924" t="str">
        <f>IF(OR(F924&lt;'EDA Analysis'!$B$22,F924&gt;'EDA Analysis'!$B$23),"OUTLIER","Normal")</f>
        <v>Normal</v>
      </c>
      <c r="P924" t="str">
        <f>IF(OR(N924&lt;'EDA Analysis'!$E$6,N924&gt;'EDA Analysis'!$E$7),"OUTLIER","Normal")</f>
        <v>Normal</v>
      </c>
    </row>
    <row r="925" spans="1:16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  <c r="O925" t="str">
        <f>IF(OR(F925&lt;'EDA Analysis'!$B$22,F925&gt;'EDA Analysis'!$B$23),"OUTLIER","Normal")</f>
        <v>Normal</v>
      </c>
      <c r="P925" t="str">
        <f>IF(OR(N925&lt;'EDA Analysis'!$E$6,N925&gt;'EDA Analysis'!$E$7),"OUTLIER","Normal")</f>
        <v>Normal</v>
      </c>
    </row>
    <row r="926" spans="1:16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  <c r="O926" t="str">
        <f>IF(OR(F926&lt;'EDA Analysis'!$B$22,F926&gt;'EDA Analysis'!$B$23),"OUTLIER","Normal")</f>
        <v>Normal</v>
      </c>
      <c r="P926" t="str">
        <f>IF(OR(N926&lt;'EDA Analysis'!$E$6,N926&gt;'EDA Analysis'!$E$7),"OUTLIER","Normal")</f>
        <v>Normal</v>
      </c>
    </row>
    <row r="927" spans="1:16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  <c r="O927" t="str">
        <f>IF(OR(F927&lt;'EDA Analysis'!$B$22,F927&gt;'EDA Analysis'!$B$23),"OUTLIER","Normal")</f>
        <v>Normal</v>
      </c>
      <c r="P927" t="str">
        <f>IF(OR(N927&lt;'EDA Analysis'!$E$6,N927&gt;'EDA Analysis'!$E$7),"OUTLIER","Normal")</f>
        <v>Normal</v>
      </c>
    </row>
    <row r="928" spans="1:16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  <c r="O928" t="str">
        <f>IF(OR(F928&lt;'EDA Analysis'!$B$22,F928&gt;'EDA Analysis'!$B$23),"OUTLIER","Normal")</f>
        <v>Normal</v>
      </c>
      <c r="P928" t="str">
        <f>IF(OR(N928&lt;'EDA Analysis'!$E$6,N928&gt;'EDA Analysis'!$E$7),"OUTLIER","Normal")</f>
        <v>Normal</v>
      </c>
    </row>
    <row r="929" spans="1:16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  <c r="O929" t="str">
        <f>IF(OR(F929&lt;'EDA Analysis'!$B$22,F929&gt;'EDA Analysis'!$B$23),"OUTLIER","Normal")</f>
        <v>Normal</v>
      </c>
      <c r="P929" t="str">
        <f>IF(OR(N929&lt;'EDA Analysis'!$E$6,N929&gt;'EDA Analysis'!$E$7),"OUTLIER","Normal")</f>
        <v>Normal</v>
      </c>
    </row>
    <row r="930" spans="1:16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  <c r="O930" t="str">
        <f>IF(OR(F930&lt;'EDA Analysis'!$B$22,F930&gt;'EDA Analysis'!$B$23),"OUTLIER","Normal")</f>
        <v>Normal</v>
      </c>
      <c r="P930" t="str">
        <f>IF(OR(N930&lt;'EDA Analysis'!$E$6,N930&gt;'EDA Analysis'!$E$7),"OUTLIER","Normal")</f>
        <v>Normal</v>
      </c>
    </row>
    <row r="931" spans="1:16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  <c r="O931" t="str">
        <f>IF(OR(F931&lt;'EDA Analysis'!$B$22,F931&gt;'EDA Analysis'!$B$23),"OUTLIER","Normal")</f>
        <v>Normal</v>
      </c>
      <c r="P931" t="str">
        <f>IF(OR(N931&lt;'EDA Analysis'!$E$6,N931&gt;'EDA Analysis'!$E$7),"OUTLIER","Normal")</f>
        <v>Normal</v>
      </c>
    </row>
    <row r="932" spans="1:16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  <c r="O932" t="str">
        <f>IF(OR(F932&lt;'EDA Analysis'!$B$22,F932&gt;'EDA Analysis'!$B$23),"OUTLIER","Normal")</f>
        <v>Normal</v>
      </c>
      <c r="P932" t="str">
        <f>IF(OR(N932&lt;'EDA Analysis'!$E$6,N932&gt;'EDA Analysis'!$E$7),"OUTLIER","Normal")</f>
        <v>Normal</v>
      </c>
    </row>
    <row r="933" spans="1:16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  <c r="O933" t="str">
        <f>IF(OR(F933&lt;'EDA Analysis'!$B$22,F933&gt;'EDA Analysis'!$B$23),"OUTLIER","Normal")</f>
        <v>Normal</v>
      </c>
      <c r="P933" t="str">
        <f>IF(OR(N933&lt;'EDA Analysis'!$E$6,N933&gt;'EDA Analysis'!$E$7),"OUTLIER","Normal")</f>
        <v>Normal</v>
      </c>
    </row>
    <row r="934" spans="1:16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  <c r="O934" t="str">
        <f>IF(OR(F934&lt;'EDA Analysis'!$B$22,F934&gt;'EDA Analysis'!$B$23),"OUTLIER","Normal")</f>
        <v>Normal</v>
      </c>
      <c r="P934" t="str">
        <f>IF(OR(N934&lt;'EDA Analysis'!$E$6,N934&gt;'EDA Analysis'!$E$7),"OUTLIER","Normal")</f>
        <v>Normal</v>
      </c>
    </row>
    <row r="935" spans="1:16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  <c r="O935" t="str">
        <f>IF(OR(F935&lt;'EDA Analysis'!$B$22,F935&gt;'EDA Analysis'!$B$23),"OUTLIER","Normal")</f>
        <v>Normal</v>
      </c>
      <c r="P935" t="str">
        <f>IF(OR(N935&lt;'EDA Analysis'!$E$6,N935&gt;'EDA Analysis'!$E$7),"OUTLIER","Normal")</f>
        <v>Normal</v>
      </c>
    </row>
    <row r="936" spans="1:16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  <c r="O936" t="str">
        <f>IF(OR(F936&lt;'EDA Analysis'!$B$22,F936&gt;'EDA Analysis'!$B$23),"OUTLIER","Normal")</f>
        <v>Normal</v>
      </c>
      <c r="P936" t="str">
        <f>IF(OR(N936&lt;'EDA Analysis'!$E$6,N936&gt;'EDA Analysis'!$E$7),"OUTLIER","Normal")</f>
        <v>Normal</v>
      </c>
    </row>
    <row r="937" spans="1:16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  <c r="O937" t="str">
        <f>IF(OR(F937&lt;'EDA Analysis'!$B$22,F937&gt;'EDA Analysis'!$B$23),"OUTLIER","Normal")</f>
        <v>Normal</v>
      </c>
      <c r="P937" t="str">
        <f>IF(OR(N937&lt;'EDA Analysis'!$E$6,N937&gt;'EDA Analysis'!$E$7),"OUTLIER","Normal")</f>
        <v>Normal</v>
      </c>
    </row>
    <row r="938" spans="1:16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  <c r="O938" t="str">
        <f>IF(OR(F938&lt;'EDA Analysis'!$B$22,F938&gt;'EDA Analysis'!$B$23),"OUTLIER","Normal")</f>
        <v>Normal</v>
      </c>
      <c r="P938" t="str">
        <f>IF(OR(N938&lt;'EDA Analysis'!$E$6,N938&gt;'EDA Analysis'!$E$7),"OUTLIER","Normal")</f>
        <v>Normal</v>
      </c>
    </row>
    <row r="939" spans="1:16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  <c r="O939" t="str">
        <f>IF(OR(F939&lt;'EDA Analysis'!$B$22,F939&gt;'EDA Analysis'!$B$23),"OUTLIER","Normal")</f>
        <v>Normal</v>
      </c>
      <c r="P939" t="str">
        <f>IF(OR(N939&lt;'EDA Analysis'!$E$6,N939&gt;'EDA Analysis'!$E$7),"OUTLIER","Normal")</f>
        <v>Normal</v>
      </c>
    </row>
    <row r="940" spans="1:16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  <c r="O940" t="str">
        <f>IF(OR(F940&lt;'EDA Analysis'!$B$22,F940&gt;'EDA Analysis'!$B$23),"OUTLIER","Normal")</f>
        <v>Normal</v>
      </c>
      <c r="P940" t="str">
        <f>IF(OR(N940&lt;'EDA Analysis'!$E$6,N940&gt;'EDA Analysis'!$E$7),"OUTLIER","Normal")</f>
        <v>Normal</v>
      </c>
    </row>
    <row r="941" spans="1:16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  <c r="O941" t="str">
        <f>IF(OR(F941&lt;'EDA Analysis'!$B$22,F941&gt;'EDA Analysis'!$B$23),"OUTLIER","Normal")</f>
        <v>Normal</v>
      </c>
      <c r="P941" t="str">
        <f>IF(OR(N941&lt;'EDA Analysis'!$E$6,N941&gt;'EDA Analysis'!$E$7),"OUTLIER","Normal")</f>
        <v>Normal</v>
      </c>
    </row>
    <row r="942" spans="1:16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  <c r="O942" t="str">
        <f>IF(OR(F942&lt;'EDA Analysis'!$B$22,F942&gt;'EDA Analysis'!$B$23),"OUTLIER","Normal")</f>
        <v>Normal</v>
      </c>
      <c r="P942" t="str">
        <f>IF(OR(N942&lt;'EDA Analysis'!$E$6,N942&gt;'EDA Analysis'!$E$7),"OUTLIER","Normal")</f>
        <v>Normal</v>
      </c>
    </row>
    <row r="943" spans="1:16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  <c r="O943" t="str">
        <f>IF(OR(F943&lt;'EDA Analysis'!$B$22,F943&gt;'EDA Analysis'!$B$23),"OUTLIER","Normal")</f>
        <v>Normal</v>
      </c>
      <c r="P943" t="str">
        <f>IF(OR(N943&lt;'EDA Analysis'!$E$6,N943&gt;'EDA Analysis'!$E$7),"OUTLIER","Normal")</f>
        <v>Normal</v>
      </c>
    </row>
    <row r="944" spans="1:16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  <c r="O944" t="str">
        <f>IF(OR(F944&lt;'EDA Analysis'!$B$22,F944&gt;'EDA Analysis'!$B$23),"OUTLIER","Normal")</f>
        <v>Normal</v>
      </c>
      <c r="P944" t="str">
        <f>IF(OR(N944&lt;'EDA Analysis'!$E$6,N944&gt;'EDA Analysis'!$E$7),"OUTLIER","Normal")</f>
        <v>Normal</v>
      </c>
    </row>
    <row r="945" spans="1:16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  <c r="O945" t="str">
        <f>IF(OR(F945&lt;'EDA Analysis'!$B$22,F945&gt;'EDA Analysis'!$B$23),"OUTLIER","Normal")</f>
        <v>Normal</v>
      </c>
      <c r="P945" t="str">
        <f>IF(OR(N945&lt;'EDA Analysis'!$E$6,N945&gt;'EDA Analysis'!$E$7),"OUTLIER","Normal")</f>
        <v>Normal</v>
      </c>
    </row>
    <row r="946" spans="1:16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  <c r="O946" t="str">
        <f>IF(OR(F946&lt;'EDA Analysis'!$B$22,F946&gt;'EDA Analysis'!$B$23),"OUTLIER","Normal")</f>
        <v>Normal</v>
      </c>
      <c r="P946" t="str">
        <f>IF(OR(N946&lt;'EDA Analysis'!$E$6,N946&gt;'EDA Analysis'!$E$7),"OUTLIER","Normal")</f>
        <v>Normal</v>
      </c>
    </row>
    <row r="947" spans="1:16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  <c r="O947" t="str">
        <f>IF(OR(F947&lt;'EDA Analysis'!$B$22,F947&gt;'EDA Analysis'!$B$23),"OUTLIER","Normal")</f>
        <v>Normal</v>
      </c>
      <c r="P947" t="str">
        <f>IF(OR(N947&lt;'EDA Analysis'!$E$6,N947&gt;'EDA Analysis'!$E$7),"OUTLIER","Normal")</f>
        <v>Normal</v>
      </c>
    </row>
    <row r="948" spans="1:16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  <c r="O948" t="str">
        <f>IF(OR(F948&lt;'EDA Analysis'!$B$22,F948&gt;'EDA Analysis'!$B$23),"OUTLIER","Normal")</f>
        <v>Normal</v>
      </c>
      <c r="P948" t="str">
        <f>IF(OR(N948&lt;'EDA Analysis'!$E$6,N948&gt;'EDA Analysis'!$E$7),"OUTLIER","Normal")</f>
        <v>Normal</v>
      </c>
    </row>
    <row r="949" spans="1:16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  <c r="O949" t="str">
        <f>IF(OR(F949&lt;'EDA Analysis'!$B$22,F949&gt;'EDA Analysis'!$B$23),"OUTLIER","Normal")</f>
        <v>Normal</v>
      </c>
      <c r="P949" t="str">
        <f>IF(OR(N949&lt;'EDA Analysis'!$E$6,N949&gt;'EDA Analysis'!$E$7),"OUTLIER","Normal")</f>
        <v>Normal</v>
      </c>
    </row>
    <row r="950" spans="1:16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  <c r="O950" t="str">
        <f>IF(OR(F950&lt;'EDA Analysis'!$B$22,F950&gt;'EDA Analysis'!$B$23),"OUTLIER","Normal")</f>
        <v>Normal</v>
      </c>
      <c r="P950" t="str">
        <f>IF(OR(N950&lt;'EDA Analysis'!$E$6,N950&gt;'EDA Analysis'!$E$7),"OUTLIER","Normal")</f>
        <v>Normal</v>
      </c>
    </row>
    <row r="951" spans="1:16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  <c r="O951" t="str">
        <f>IF(OR(F951&lt;'EDA Analysis'!$B$22,F951&gt;'EDA Analysis'!$B$23),"OUTLIER","Normal")</f>
        <v>Normal</v>
      </c>
      <c r="P951" t="str">
        <f>IF(OR(N951&lt;'EDA Analysis'!$E$6,N951&gt;'EDA Analysis'!$E$7),"OUTLIER","Normal")</f>
        <v>Normal</v>
      </c>
    </row>
    <row r="952" spans="1:16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  <c r="O952" t="str">
        <f>IF(OR(F952&lt;'EDA Analysis'!$B$22,F952&gt;'EDA Analysis'!$B$23),"OUTLIER","Normal")</f>
        <v>Normal</v>
      </c>
      <c r="P952" t="str">
        <f>IF(OR(N952&lt;'EDA Analysis'!$E$6,N952&gt;'EDA Analysis'!$E$7),"OUTLIER","Normal")</f>
        <v>Normal</v>
      </c>
    </row>
    <row r="953" spans="1:16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  <c r="O953" t="str">
        <f>IF(OR(F953&lt;'EDA Analysis'!$B$22,F953&gt;'EDA Analysis'!$B$23),"OUTLIER","Normal")</f>
        <v>Normal</v>
      </c>
      <c r="P953" t="str">
        <f>IF(OR(N953&lt;'EDA Analysis'!$E$6,N953&gt;'EDA Analysis'!$E$7),"OUTLIER","Normal")</f>
        <v>Normal</v>
      </c>
    </row>
    <row r="954" spans="1:16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  <c r="O954" t="str">
        <f>IF(OR(F954&lt;'EDA Analysis'!$B$22,F954&gt;'EDA Analysis'!$B$23),"OUTLIER","Normal")</f>
        <v>Normal</v>
      </c>
      <c r="P954" t="str">
        <f>IF(OR(N954&lt;'EDA Analysis'!$E$6,N954&gt;'EDA Analysis'!$E$7),"OUTLIER","Normal")</f>
        <v>Normal</v>
      </c>
    </row>
    <row r="955" spans="1:16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  <c r="O955" t="str">
        <f>IF(OR(F955&lt;'EDA Analysis'!$B$22,F955&gt;'EDA Analysis'!$B$23),"OUTLIER","Normal")</f>
        <v>Normal</v>
      </c>
      <c r="P955" t="str">
        <f>IF(OR(N955&lt;'EDA Analysis'!$E$6,N955&gt;'EDA Analysis'!$E$7),"OUTLIER","Normal")</f>
        <v>Normal</v>
      </c>
    </row>
    <row r="956" spans="1:16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  <c r="O956" t="str">
        <f>IF(OR(F956&lt;'EDA Analysis'!$B$22,F956&gt;'EDA Analysis'!$B$23),"OUTLIER","Normal")</f>
        <v>Normal</v>
      </c>
      <c r="P956" t="str">
        <f>IF(OR(N956&lt;'EDA Analysis'!$E$6,N956&gt;'EDA Analysis'!$E$7),"OUTLIER","Normal")</f>
        <v>Normal</v>
      </c>
    </row>
    <row r="957" spans="1:16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  <c r="O957" t="str">
        <f>IF(OR(F957&lt;'EDA Analysis'!$B$22,F957&gt;'EDA Analysis'!$B$23),"OUTLIER","Normal")</f>
        <v>Normal</v>
      </c>
      <c r="P957" t="str">
        <f>IF(OR(N957&lt;'EDA Analysis'!$E$6,N957&gt;'EDA Analysis'!$E$7),"OUTLIER","Normal")</f>
        <v>Normal</v>
      </c>
    </row>
    <row r="958" spans="1:16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  <c r="O958" t="str">
        <f>IF(OR(F958&lt;'EDA Analysis'!$B$22,F958&gt;'EDA Analysis'!$B$23),"OUTLIER","Normal")</f>
        <v>Normal</v>
      </c>
      <c r="P958" t="str">
        <f>IF(OR(N958&lt;'EDA Analysis'!$E$6,N958&gt;'EDA Analysis'!$E$7),"OUTLIER","Normal")</f>
        <v>Normal</v>
      </c>
    </row>
    <row r="959" spans="1:16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  <c r="O959" t="str">
        <f>IF(OR(F959&lt;'EDA Analysis'!$B$22,F959&gt;'EDA Analysis'!$B$23),"OUTLIER","Normal")</f>
        <v>Normal</v>
      </c>
      <c r="P959" t="str">
        <f>IF(OR(N959&lt;'EDA Analysis'!$E$6,N959&gt;'EDA Analysis'!$E$7),"OUTLIER","Normal")</f>
        <v>Normal</v>
      </c>
    </row>
    <row r="960" spans="1:16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  <c r="O960" t="str">
        <f>IF(OR(F960&lt;'EDA Analysis'!$B$22,F960&gt;'EDA Analysis'!$B$23),"OUTLIER","Normal")</f>
        <v>Normal</v>
      </c>
      <c r="P960" t="str">
        <f>IF(OR(N960&lt;'EDA Analysis'!$E$6,N960&gt;'EDA Analysis'!$E$7),"OUTLIER","Normal")</f>
        <v>Normal</v>
      </c>
    </row>
    <row r="961" spans="1:16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  <c r="O961" t="str">
        <f>IF(OR(F961&lt;'EDA Analysis'!$B$22,F961&gt;'EDA Analysis'!$B$23),"OUTLIER","Normal")</f>
        <v>Normal</v>
      </c>
      <c r="P961" t="str">
        <f>IF(OR(N961&lt;'EDA Analysis'!$E$6,N961&gt;'EDA Analysis'!$E$7),"OUTLIER","Normal")</f>
        <v>Normal</v>
      </c>
    </row>
    <row r="962" spans="1:16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  <c r="O962" t="str">
        <f>IF(OR(F962&lt;'EDA Analysis'!$B$22,F962&gt;'EDA Analysis'!$B$23),"OUTLIER","Normal")</f>
        <v>Normal</v>
      </c>
      <c r="P962" t="str">
        <f>IF(OR(N962&lt;'EDA Analysis'!$E$6,N962&gt;'EDA Analysis'!$E$7),"OUTLIER","Normal")</f>
        <v>Normal</v>
      </c>
    </row>
    <row r="963" spans="1:16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  <c r="O963" t="str">
        <f>IF(OR(F963&lt;'EDA Analysis'!$B$22,F963&gt;'EDA Analysis'!$B$23),"OUTLIER","Normal")</f>
        <v>Normal</v>
      </c>
      <c r="P963" t="str">
        <f>IF(OR(N963&lt;'EDA Analysis'!$E$6,N963&gt;'EDA Analysis'!$E$7),"OUTLIER","Normal")</f>
        <v>Normal</v>
      </c>
    </row>
    <row r="964" spans="1:16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  <c r="O964" t="str">
        <f>IF(OR(F964&lt;'EDA Analysis'!$B$22,F964&gt;'EDA Analysis'!$B$23),"OUTLIER","Normal")</f>
        <v>Normal</v>
      </c>
      <c r="P964" t="str">
        <f>IF(OR(N964&lt;'EDA Analysis'!$E$6,N964&gt;'EDA Analysis'!$E$7),"OUTLIER","Normal")</f>
        <v>Normal</v>
      </c>
    </row>
    <row r="965" spans="1:16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  <c r="O965" t="str">
        <f>IF(OR(F965&lt;'EDA Analysis'!$B$22,F965&gt;'EDA Analysis'!$B$23),"OUTLIER","Normal")</f>
        <v>Normal</v>
      </c>
      <c r="P965" t="str">
        <f>IF(OR(N965&lt;'EDA Analysis'!$E$6,N965&gt;'EDA Analysis'!$E$7),"OUTLIER","Normal")</f>
        <v>Normal</v>
      </c>
    </row>
    <row r="966" spans="1:16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  <c r="O966" t="str">
        <f>IF(OR(F966&lt;'EDA Analysis'!$B$22,F966&gt;'EDA Analysis'!$B$23),"OUTLIER","Normal")</f>
        <v>Normal</v>
      </c>
      <c r="P966" t="str">
        <f>IF(OR(N966&lt;'EDA Analysis'!$E$6,N966&gt;'EDA Analysis'!$E$7),"OUTLIER","Normal")</f>
        <v>Normal</v>
      </c>
    </row>
    <row r="967" spans="1:16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  <c r="O967" t="str">
        <f>IF(OR(F967&lt;'EDA Analysis'!$B$22,F967&gt;'EDA Analysis'!$B$23),"OUTLIER","Normal")</f>
        <v>Normal</v>
      </c>
      <c r="P967" t="str">
        <f>IF(OR(N967&lt;'EDA Analysis'!$E$6,N967&gt;'EDA Analysis'!$E$7),"OUTLIER","Normal")</f>
        <v>Normal</v>
      </c>
    </row>
    <row r="968" spans="1:16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  <c r="O968" t="str">
        <f>IF(OR(F968&lt;'EDA Analysis'!$B$22,F968&gt;'EDA Analysis'!$B$23),"OUTLIER","Normal")</f>
        <v>Normal</v>
      </c>
      <c r="P968" t="str">
        <f>IF(OR(N968&lt;'EDA Analysis'!$E$6,N968&gt;'EDA Analysis'!$E$7),"OUTLIER","Normal")</f>
        <v>Normal</v>
      </c>
    </row>
    <row r="969" spans="1:16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  <c r="O969" t="str">
        <f>IF(OR(F969&lt;'EDA Analysis'!$B$22,F969&gt;'EDA Analysis'!$B$23),"OUTLIER","Normal")</f>
        <v>Normal</v>
      </c>
      <c r="P969" t="str">
        <f>IF(OR(N969&lt;'EDA Analysis'!$E$6,N969&gt;'EDA Analysis'!$E$7),"OUTLIER","Normal")</f>
        <v>Normal</v>
      </c>
    </row>
    <row r="970" spans="1:16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  <c r="O970" t="str">
        <f>IF(OR(F970&lt;'EDA Analysis'!$B$22,F970&gt;'EDA Analysis'!$B$23),"OUTLIER","Normal")</f>
        <v>Normal</v>
      </c>
      <c r="P970" t="str">
        <f>IF(OR(N970&lt;'EDA Analysis'!$E$6,N970&gt;'EDA Analysis'!$E$7),"OUTLIER","Normal")</f>
        <v>Normal</v>
      </c>
    </row>
    <row r="971" spans="1:16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  <c r="O971" t="str">
        <f>IF(OR(F971&lt;'EDA Analysis'!$B$22,F971&gt;'EDA Analysis'!$B$23),"OUTLIER","Normal")</f>
        <v>Normal</v>
      </c>
      <c r="P971" t="str">
        <f>IF(OR(N971&lt;'EDA Analysis'!$E$6,N971&gt;'EDA Analysis'!$E$7),"OUTLIER","Normal")</f>
        <v>Normal</v>
      </c>
    </row>
    <row r="972" spans="1:16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  <c r="O972" t="str">
        <f>IF(OR(F972&lt;'EDA Analysis'!$B$22,F972&gt;'EDA Analysis'!$B$23),"OUTLIER","Normal")</f>
        <v>Normal</v>
      </c>
      <c r="P972" t="str">
        <f>IF(OR(N972&lt;'EDA Analysis'!$E$6,N972&gt;'EDA Analysis'!$E$7),"OUTLIER","Normal")</f>
        <v>Normal</v>
      </c>
    </row>
    <row r="973" spans="1:16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  <c r="O973" t="str">
        <f>IF(OR(F973&lt;'EDA Analysis'!$B$22,F973&gt;'EDA Analysis'!$B$23),"OUTLIER","Normal")</f>
        <v>Normal</v>
      </c>
      <c r="P973" t="str">
        <f>IF(OR(N973&lt;'EDA Analysis'!$E$6,N973&gt;'EDA Analysis'!$E$7),"OUTLIER","Normal")</f>
        <v>Normal</v>
      </c>
    </row>
    <row r="974" spans="1:16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  <c r="O974" t="str">
        <f>IF(OR(F974&lt;'EDA Analysis'!$B$22,F974&gt;'EDA Analysis'!$B$23),"OUTLIER","Normal")</f>
        <v>Normal</v>
      </c>
      <c r="P974" t="str">
        <f>IF(OR(N974&lt;'EDA Analysis'!$E$6,N974&gt;'EDA Analysis'!$E$7),"OUTLIER","Normal")</f>
        <v>Normal</v>
      </c>
    </row>
    <row r="975" spans="1:16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  <c r="O975" t="str">
        <f>IF(OR(F975&lt;'EDA Analysis'!$B$22,F975&gt;'EDA Analysis'!$B$23),"OUTLIER","Normal")</f>
        <v>Normal</v>
      </c>
      <c r="P975" t="str">
        <f>IF(OR(N975&lt;'EDA Analysis'!$E$6,N975&gt;'EDA Analysis'!$E$7),"OUTLIER","Normal")</f>
        <v>Normal</v>
      </c>
    </row>
    <row r="976" spans="1:16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  <c r="O976" t="str">
        <f>IF(OR(F976&lt;'EDA Analysis'!$B$22,F976&gt;'EDA Analysis'!$B$23),"OUTLIER","Normal")</f>
        <v>Normal</v>
      </c>
      <c r="P976" t="str">
        <f>IF(OR(N976&lt;'EDA Analysis'!$E$6,N976&gt;'EDA Analysis'!$E$7),"OUTLIER","Normal")</f>
        <v>Normal</v>
      </c>
    </row>
    <row r="977" spans="1:16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  <c r="O977" t="str">
        <f>IF(OR(F977&lt;'EDA Analysis'!$B$22,F977&gt;'EDA Analysis'!$B$23),"OUTLIER","Normal")</f>
        <v>Normal</v>
      </c>
      <c r="P977" t="str">
        <f>IF(OR(N977&lt;'EDA Analysis'!$E$6,N977&gt;'EDA Analysis'!$E$7),"OUTLIER","Normal")</f>
        <v>Normal</v>
      </c>
    </row>
    <row r="978" spans="1:16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  <c r="O978" t="str">
        <f>IF(OR(F978&lt;'EDA Analysis'!$B$22,F978&gt;'EDA Analysis'!$B$23),"OUTLIER","Normal")</f>
        <v>Normal</v>
      </c>
      <c r="P978" t="str">
        <f>IF(OR(N978&lt;'EDA Analysis'!$E$6,N978&gt;'EDA Analysis'!$E$7),"OUTLIER","Normal")</f>
        <v>Normal</v>
      </c>
    </row>
    <row r="979" spans="1:16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  <c r="O979" t="str">
        <f>IF(OR(F979&lt;'EDA Analysis'!$B$22,F979&gt;'EDA Analysis'!$B$23),"OUTLIER","Normal")</f>
        <v>Normal</v>
      </c>
      <c r="P979" t="str">
        <f>IF(OR(N979&lt;'EDA Analysis'!$E$6,N979&gt;'EDA Analysis'!$E$7),"OUTLIER","Normal")</f>
        <v>Normal</v>
      </c>
    </row>
    <row r="980" spans="1:16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  <c r="O980" t="str">
        <f>IF(OR(F980&lt;'EDA Analysis'!$B$22,F980&gt;'EDA Analysis'!$B$23),"OUTLIER","Normal")</f>
        <v>Normal</v>
      </c>
      <c r="P980" t="str">
        <f>IF(OR(N980&lt;'EDA Analysis'!$E$6,N980&gt;'EDA Analysis'!$E$7),"OUTLIER","Normal")</f>
        <v>Normal</v>
      </c>
    </row>
    <row r="981" spans="1:16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  <c r="O981" t="str">
        <f>IF(OR(F981&lt;'EDA Analysis'!$B$22,F981&gt;'EDA Analysis'!$B$23),"OUTLIER","Normal")</f>
        <v>Normal</v>
      </c>
      <c r="P981" t="str">
        <f>IF(OR(N981&lt;'EDA Analysis'!$E$6,N981&gt;'EDA Analysis'!$E$7),"OUTLIER","Normal")</f>
        <v>Normal</v>
      </c>
    </row>
    <row r="982" spans="1:16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  <c r="O982" t="str">
        <f>IF(OR(F982&lt;'EDA Analysis'!$B$22,F982&gt;'EDA Analysis'!$B$23),"OUTLIER","Normal")</f>
        <v>Normal</v>
      </c>
      <c r="P982" t="str">
        <f>IF(OR(N982&lt;'EDA Analysis'!$E$6,N982&gt;'EDA Analysis'!$E$7),"OUTLIER","Normal")</f>
        <v>Normal</v>
      </c>
    </row>
    <row r="983" spans="1:16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  <c r="O983" t="str">
        <f>IF(OR(F983&lt;'EDA Analysis'!$B$22,F983&gt;'EDA Analysis'!$B$23),"OUTLIER","Normal")</f>
        <v>Normal</v>
      </c>
      <c r="P983" t="str">
        <f>IF(OR(N983&lt;'EDA Analysis'!$E$6,N983&gt;'EDA Analysis'!$E$7),"OUTLIER","Normal")</f>
        <v>Normal</v>
      </c>
    </row>
    <row r="984" spans="1:16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  <c r="O984" t="str">
        <f>IF(OR(F984&lt;'EDA Analysis'!$B$22,F984&gt;'EDA Analysis'!$B$23),"OUTLIER","Normal")</f>
        <v>Normal</v>
      </c>
      <c r="P984" t="str">
        <f>IF(OR(N984&lt;'EDA Analysis'!$E$6,N984&gt;'EDA Analysis'!$E$7),"OUTLIER","Normal")</f>
        <v>Normal</v>
      </c>
    </row>
    <row r="985" spans="1:16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  <c r="O985" t="str">
        <f>IF(OR(F985&lt;'EDA Analysis'!$B$22,F985&gt;'EDA Analysis'!$B$23),"OUTLIER","Normal")</f>
        <v>Normal</v>
      </c>
      <c r="P985" t="str">
        <f>IF(OR(N985&lt;'EDA Analysis'!$E$6,N985&gt;'EDA Analysis'!$E$7),"OUTLIER","Normal")</f>
        <v>Normal</v>
      </c>
    </row>
    <row r="986" spans="1:16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  <c r="O986" t="str">
        <f>IF(OR(F986&lt;'EDA Analysis'!$B$22,F986&gt;'EDA Analysis'!$B$23),"OUTLIER","Normal")</f>
        <v>Normal</v>
      </c>
      <c r="P986" t="str">
        <f>IF(OR(N986&lt;'EDA Analysis'!$E$6,N986&gt;'EDA Analysis'!$E$7),"OUTLIER","Normal")</f>
        <v>Normal</v>
      </c>
    </row>
    <row r="987" spans="1:16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  <c r="O987" t="str">
        <f>IF(OR(F987&lt;'EDA Analysis'!$B$22,F987&gt;'EDA Analysis'!$B$23),"OUTLIER","Normal")</f>
        <v>Normal</v>
      </c>
      <c r="P987" t="str">
        <f>IF(OR(N987&lt;'EDA Analysis'!$E$6,N987&gt;'EDA Analysis'!$E$7),"OUTLIER","Normal")</f>
        <v>Normal</v>
      </c>
    </row>
    <row r="988" spans="1:16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  <c r="O988" t="str">
        <f>IF(OR(F988&lt;'EDA Analysis'!$B$22,F988&gt;'EDA Analysis'!$B$23),"OUTLIER","Normal")</f>
        <v>Normal</v>
      </c>
      <c r="P988" t="str">
        <f>IF(OR(N988&lt;'EDA Analysis'!$E$6,N988&gt;'EDA Analysis'!$E$7),"OUTLIER","Normal")</f>
        <v>Normal</v>
      </c>
    </row>
    <row r="989" spans="1:16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  <c r="O989" t="str">
        <f>IF(OR(F989&lt;'EDA Analysis'!$B$22,F989&gt;'EDA Analysis'!$B$23),"OUTLIER","Normal")</f>
        <v>Normal</v>
      </c>
      <c r="P989" t="str">
        <f>IF(OR(N989&lt;'EDA Analysis'!$E$6,N989&gt;'EDA Analysis'!$E$7),"OUTLIER","Normal")</f>
        <v>Normal</v>
      </c>
    </row>
    <row r="990" spans="1:16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  <c r="O990" t="str">
        <f>IF(OR(F990&lt;'EDA Analysis'!$B$22,F990&gt;'EDA Analysis'!$B$23),"OUTLIER","Normal")</f>
        <v>Normal</v>
      </c>
      <c r="P990" t="str">
        <f>IF(OR(N990&lt;'EDA Analysis'!$E$6,N990&gt;'EDA Analysis'!$E$7),"OUTLIER","Normal")</f>
        <v>Normal</v>
      </c>
    </row>
    <row r="991" spans="1:16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  <c r="O991" t="str">
        <f>IF(OR(F991&lt;'EDA Analysis'!$B$22,F991&gt;'EDA Analysis'!$B$23),"OUTLIER","Normal")</f>
        <v>Normal</v>
      </c>
      <c r="P991" t="str">
        <f>IF(OR(N991&lt;'EDA Analysis'!$E$6,N991&gt;'EDA Analysis'!$E$7),"OUTLIER","Normal")</f>
        <v>Normal</v>
      </c>
    </row>
    <row r="992" spans="1:16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  <c r="O992" t="str">
        <f>IF(OR(F992&lt;'EDA Analysis'!$B$22,F992&gt;'EDA Analysis'!$B$23),"OUTLIER","Normal")</f>
        <v>Normal</v>
      </c>
      <c r="P992" t="str">
        <f>IF(OR(N992&lt;'EDA Analysis'!$E$6,N992&gt;'EDA Analysis'!$E$7),"OUTLIER","Normal")</f>
        <v>Normal</v>
      </c>
    </row>
    <row r="993" spans="1:16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  <c r="O993" t="str">
        <f>IF(OR(F993&lt;'EDA Analysis'!$B$22,F993&gt;'EDA Analysis'!$B$23),"OUTLIER","Normal")</f>
        <v>Normal</v>
      </c>
      <c r="P993" t="str">
        <f>IF(OR(N993&lt;'EDA Analysis'!$E$6,N993&gt;'EDA Analysis'!$E$7),"OUTLIER","Normal")</f>
        <v>Normal</v>
      </c>
    </row>
    <row r="994" spans="1:16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  <c r="O994" t="str">
        <f>IF(OR(F994&lt;'EDA Analysis'!$B$22,F994&gt;'EDA Analysis'!$B$23),"OUTLIER","Normal")</f>
        <v>Normal</v>
      </c>
      <c r="P994" t="str">
        <f>IF(OR(N994&lt;'EDA Analysis'!$E$6,N994&gt;'EDA Analysis'!$E$7),"OUTLIER","Normal")</f>
        <v>Normal</v>
      </c>
    </row>
    <row r="995" spans="1:16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  <c r="O995" t="str">
        <f>IF(OR(F995&lt;'EDA Analysis'!$B$22,F995&gt;'EDA Analysis'!$B$23),"OUTLIER","Normal")</f>
        <v>Normal</v>
      </c>
      <c r="P995" t="str">
        <f>IF(OR(N995&lt;'EDA Analysis'!$E$6,N995&gt;'EDA Analysis'!$E$7),"OUTLIER","Normal")</f>
        <v>Normal</v>
      </c>
    </row>
    <row r="996" spans="1:16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  <c r="O996" t="str">
        <f>IF(OR(F996&lt;'EDA Analysis'!$B$22,F996&gt;'EDA Analysis'!$B$23),"OUTLIER","Normal")</f>
        <v>Normal</v>
      </c>
      <c r="P996" t="str">
        <f>IF(OR(N996&lt;'EDA Analysis'!$E$6,N996&gt;'EDA Analysis'!$E$7),"OUTLIER","Normal")</f>
        <v>Normal</v>
      </c>
    </row>
    <row r="997" spans="1:16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  <c r="O997" t="str">
        <f>IF(OR(F997&lt;'EDA Analysis'!$B$22,F997&gt;'EDA Analysis'!$B$23),"OUTLIER","Normal")</f>
        <v>Normal</v>
      </c>
      <c r="P997" t="str">
        <f>IF(OR(N997&lt;'EDA Analysis'!$E$6,N997&gt;'EDA Analysis'!$E$7),"OUTLIER","Normal")</f>
        <v>Normal</v>
      </c>
    </row>
    <row r="998" spans="1:16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  <c r="O998" t="str">
        <f>IF(OR(F998&lt;'EDA Analysis'!$B$22,F998&gt;'EDA Analysis'!$B$23),"OUTLIER","Normal")</f>
        <v>Normal</v>
      </c>
      <c r="P998" t="str">
        <f>IF(OR(N998&lt;'EDA Analysis'!$E$6,N998&gt;'EDA Analysis'!$E$7),"OUTLIER","Normal")</f>
        <v>Normal</v>
      </c>
    </row>
    <row r="999" spans="1:16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  <c r="O999" t="str">
        <f>IF(OR(F999&lt;'EDA Analysis'!$B$22,F999&gt;'EDA Analysis'!$B$23),"OUTLIER","Normal")</f>
        <v>Normal</v>
      </c>
      <c r="P999" t="str">
        <f>IF(OR(N999&lt;'EDA Analysis'!$E$6,N999&gt;'EDA Analysis'!$E$7),"OUTLIER","Normal")</f>
        <v>Normal</v>
      </c>
    </row>
    <row r="1000" spans="1:16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  <c r="O1000" t="str">
        <f>IF(OR(F1000&lt;'EDA Analysis'!$B$22,F1000&gt;'EDA Analysis'!$B$23),"OUTLIER","Normal")</f>
        <v>Normal</v>
      </c>
      <c r="P1000" t="str">
        <f>IF(OR(N1000&lt;'EDA Analysis'!$E$6,N1000&gt;'EDA Analysis'!$E$7),"OUTLIER","Normal")</f>
        <v>Normal</v>
      </c>
    </row>
    <row r="1001" spans="1:16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  <c r="O1001" t="str">
        <f>IF(OR(F1001&lt;'EDA Analysis'!$B$22,F1001&gt;'EDA Analysis'!$B$23),"OUTLIER","Normal")</f>
        <v>Normal</v>
      </c>
      <c r="P1001" t="str">
        <f>IF(OR(N1001&lt;'EDA Analysis'!$E$6,N1001&gt;'EDA Analysis'!$E$7),"OUTLIER","Normal")</f>
        <v>Normal</v>
      </c>
    </row>
    <row r="1002" spans="1:16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  <c r="O1002" t="str">
        <f>IF(OR(F1002&lt;'EDA Analysis'!$B$22,F1002&gt;'EDA Analysis'!$B$23),"OUTLIER","Normal")</f>
        <v>Normal</v>
      </c>
      <c r="P1002" t="str">
        <f>IF(OR(N1002&lt;'EDA Analysis'!$E$6,N1002&gt;'EDA Analysis'!$E$7),"OUTLIER","Normal")</f>
        <v>Normal</v>
      </c>
    </row>
    <row r="1003" spans="1:16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  <c r="O1003" t="str">
        <f>IF(OR(F1003&lt;'EDA Analysis'!$B$22,F1003&gt;'EDA Analysis'!$B$23),"OUTLIER","Normal")</f>
        <v>Normal</v>
      </c>
      <c r="P1003" t="str">
        <f>IF(OR(N1003&lt;'EDA Analysis'!$E$6,N1003&gt;'EDA Analysis'!$E$7),"OUTLIER","Normal")</f>
        <v>Normal</v>
      </c>
    </row>
    <row r="1004" spans="1:16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  <c r="O1004" t="str">
        <f>IF(OR(F1004&lt;'EDA Analysis'!$B$22,F1004&gt;'EDA Analysis'!$B$23),"OUTLIER","Normal")</f>
        <v>Normal</v>
      </c>
      <c r="P1004" t="str">
        <f>IF(OR(N1004&lt;'EDA Analysis'!$E$6,N1004&gt;'EDA Analysis'!$E$7),"OUTLIER","Normal")</f>
        <v>Normal</v>
      </c>
    </row>
    <row r="1005" spans="1:16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  <c r="O1005" t="str">
        <f>IF(OR(F1005&lt;'EDA Analysis'!$B$22,F1005&gt;'EDA Analysis'!$B$23),"OUTLIER","Normal")</f>
        <v>Normal</v>
      </c>
      <c r="P1005" t="str">
        <f>IF(OR(N1005&lt;'EDA Analysis'!$E$6,N1005&gt;'EDA Analysis'!$E$7),"OUTLIER","Normal")</f>
        <v>Normal</v>
      </c>
    </row>
    <row r="1006" spans="1:16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  <c r="O1006" t="str">
        <f>IF(OR(F1006&lt;'EDA Analysis'!$B$22,F1006&gt;'EDA Analysis'!$B$23),"OUTLIER","Normal")</f>
        <v>Normal</v>
      </c>
      <c r="P1006" t="str">
        <f>IF(OR(N1006&lt;'EDA Analysis'!$E$6,N1006&gt;'EDA Analysis'!$E$7),"OUTLIER","Normal")</f>
        <v>Normal</v>
      </c>
    </row>
    <row r="1007" spans="1:16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  <c r="O1007" t="str">
        <f>IF(OR(F1007&lt;'EDA Analysis'!$B$22,F1007&gt;'EDA Analysis'!$B$23),"OUTLIER","Normal")</f>
        <v>Normal</v>
      </c>
      <c r="P1007" t="str">
        <f>IF(OR(N1007&lt;'EDA Analysis'!$E$6,N1007&gt;'EDA Analysis'!$E$7),"OUTLIER","Normal")</f>
        <v>Normal</v>
      </c>
    </row>
    <row r="1008" spans="1:16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  <c r="O1008" t="str">
        <f>IF(OR(F1008&lt;'EDA Analysis'!$B$22,F1008&gt;'EDA Analysis'!$B$23),"OUTLIER","Normal")</f>
        <v>Normal</v>
      </c>
      <c r="P1008" t="str">
        <f>IF(OR(N1008&lt;'EDA Analysis'!$E$6,N1008&gt;'EDA Analysis'!$E$7),"OUTLIER","Normal")</f>
        <v>Normal</v>
      </c>
    </row>
    <row r="1009" spans="1:16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  <c r="O1009" t="str">
        <f>IF(OR(F1009&lt;'EDA Analysis'!$B$22,F1009&gt;'EDA Analysis'!$B$23),"OUTLIER","Normal")</f>
        <v>Normal</v>
      </c>
      <c r="P1009" t="str">
        <f>IF(OR(N1009&lt;'EDA Analysis'!$E$6,N1009&gt;'EDA Analysis'!$E$7),"OUTLIER","Normal")</f>
        <v>Normal</v>
      </c>
    </row>
    <row r="1010" spans="1:16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  <c r="O1010" t="str">
        <f>IF(OR(F1010&lt;'EDA Analysis'!$B$22,F1010&gt;'EDA Analysis'!$B$23),"OUTLIER","Normal")</f>
        <v>Normal</v>
      </c>
      <c r="P1010" t="str">
        <f>IF(OR(N1010&lt;'EDA Analysis'!$E$6,N1010&gt;'EDA Analysis'!$E$7),"OUTLIER","Normal")</f>
        <v>Normal</v>
      </c>
    </row>
    <row r="1011" spans="1:16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  <c r="O1011" t="str">
        <f>IF(OR(F1011&lt;'EDA Analysis'!$B$22,F1011&gt;'EDA Analysis'!$B$23),"OUTLIER","Normal")</f>
        <v>Normal</v>
      </c>
      <c r="P1011" t="str">
        <f>IF(OR(N1011&lt;'EDA Analysis'!$E$6,N1011&gt;'EDA Analysis'!$E$7),"OUTLIER","Normal")</f>
        <v>Normal</v>
      </c>
    </row>
    <row r="1012" spans="1:16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  <c r="O1012" t="str">
        <f>IF(OR(F1012&lt;'EDA Analysis'!$B$22,F1012&gt;'EDA Analysis'!$B$23),"OUTLIER","Normal")</f>
        <v>Normal</v>
      </c>
      <c r="P1012" t="str">
        <f>IF(OR(N1012&lt;'EDA Analysis'!$E$6,N1012&gt;'EDA Analysis'!$E$7),"OUTLIER","Normal")</f>
        <v>Normal</v>
      </c>
    </row>
    <row r="1013" spans="1:16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  <c r="O1013" t="str">
        <f>IF(OR(F1013&lt;'EDA Analysis'!$B$22,F1013&gt;'EDA Analysis'!$B$23),"OUTLIER","Normal")</f>
        <v>Normal</v>
      </c>
      <c r="P1013" t="str">
        <f>IF(OR(N1013&lt;'EDA Analysis'!$E$6,N1013&gt;'EDA Analysis'!$E$7),"OUTLIER","Normal")</f>
        <v>Normal</v>
      </c>
    </row>
    <row r="1014" spans="1:16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  <c r="O1014" t="str">
        <f>IF(OR(F1014&lt;'EDA Analysis'!$B$22,F1014&gt;'EDA Analysis'!$B$23),"OUTLIER","Normal")</f>
        <v>Normal</v>
      </c>
      <c r="P1014" t="str">
        <f>IF(OR(N1014&lt;'EDA Analysis'!$E$6,N1014&gt;'EDA Analysis'!$E$7),"OUTLIER","Normal")</f>
        <v>Normal</v>
      </c>
    </row>
    <row r="1015" spans="1:16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  <c r="O1015" t="str">
        <f>IF(OR(F1015&lt;'EDA Analysis'!$B$22,F1015&gt;'EDA Analysis'!$B$23),"OUTLIER","Normal")</f>
        <v>Normal</v>
      </c>
      <c r="P1015" t="str">
        <f>IF(OR(N1015&lt;'EDA Analysis'!$E$6,N1015&gt;'EDA Analysis'!$E$7),"OUTLIER","Normal")</f>
        <v>Normal</v>
      </c>
    </row>
    <row r="1016" spans="1:16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  <c r="O1016" t="str">
        <f>IF(OR(F1016&lt;'EDA Analysis'!$B$22,F1016&gt;'EDA Analysis'!$B$23),"OUTLIER","Normal")</f>
        <v>Normal</v>
      </c>
      <c r="P1016" t="str">
        <f>IF(OR(N1016&lt;'EDA Analysis'!$E$6,N1016&gt;'EDA Analysis'!$E$7),"OUTLIER","Normal")</f>
        <v>Normal</v>
      </c>
    </row>
    <row r="1017" spans="1:16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  <c r="O1017" t="str">
        <f>IF(OR(F1017&lt;'EDA Analysis'!$B$22,F1017&gt;'EDA Analysis'!$B$23),"OUTLIER","Normal")</f>
        <v>Normal</v>
      </c>
      <c r="P1017" t="str">
        <f>IF(OR(N1017&lt;'EDA Analysis'!$E$6,N1017&gt;'EDA Analysis'!$E$7),"OUTLIER","Normal")</f>
        <v>Normal</v>
      </c>
    </row>
    <row r="1018" spans="1:16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  <c r="O1018" t="str">
        <f>IF(OR(F1018&lt;'EDA Analysis'!$B$22,F1018&gt;'EDA Analysis'!$B$23),"OUTLIER","Normal")</f>
        <v>Normal</v>
      </c>
      <c r="P1018" t="str">
        <f>IF(OR(N1018&lt;'EDA Analysis'!$E$6,N1018&gt;'EDA Analysis'!$E$7),"OUTLIER","Normal")</f>
        <v>Normal</v>
      </c>
    </row>
    <row r="1019" spans="1:16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  <c r="O1019" t="str">
        <f>IF(OR(F1019&lt;'EDA Analysis'!$B$22,F1019&gt;'EDA Analysis'!$B$23),"OUTLIER","Normal")</f>
        <v>Normal</v>
      </c>
      <c r="P1019" t="str">
        <f>IF(OR(N1019&lt;'EDA Analysis'!$E$6,N1019&gt;'EDA Analysis'!$E$7),"OUTLIER","Normal")</f>
        <v>Normal</v>
      </c>
    </row>
    <row r="1020" spans="1:16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  <c r="O1020" t="str">
        <f>IF(OR(F1020&lt;'EDA Analysis'!$B$22,F1020&gt;'EDA Analysis'!$B$23),"OUTLIER","Normal")</f>
        <v>Normal</v>
      </c>
      <c r="P1020" t="str">
        <f>IF(OR(N1020&lt;'EDA Analysis'!$E$6,N1020&gt;'EDA Analysis'!$E$7),"OUTLIER","Normal")</f>
        <v>Normal</v>
      </c>
    </row>
    <row r="1021" spans="1:16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  <c r="O1021" t="str">
        <f>IF(OR(F1021&lt;'EDA Analysis'!$B$22,F1021&gt;'EDA Analysis'!$B$23),"OUTLIER","Normal")</f>
        <v>Normal</v>
      </c>
      <c r="P1021" t="str">
        <f>IF(OR(N1021&lt;'EDA Analysis'!$E$6,N1021&gt;'EDA Analysis'!$E$7),"OUTLIER","Normal")</f>
        <v>Normal</v>
      </c>
    </row>
    <row r="1022" spans="1:16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  <c r="O1022" t="str">
        <f>IF(OR(F1022&lt;'EDA Analysis'!$B$22,F1022&gt;'EDA Analysis'!$B$23),"OUTLIER","Normal")</f>
        <v>Normal</v>
      </c>
      <c r="P1022" t="str">
        <f>IF(OR(N1022&lt;'EDA Analysis'!$E$6,N1022&gt;'EDA Analysis'!$E$7),"OUTLIER","Normal")</f>
        <v>Normal</v>
      </c>
    </row>
    <row r="1023" spans="1:16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  <c r="O1023" t="str">
        <f>IF(OR(F1023&lt;'EDA Analysis'!$B$22,F1023&gt;'EDA Analysis'!$B$23),"OUTLIER","Normal")</f>
        <v>Normal</v>
      </c>
      <c r="P1023" t="str">
        <f>IF(OR(N1023&lt;'EDA Analysis'!$E$6,N1023&gt;'EDA Analysis'!$E$7),"OUTLIER","Normal")</f>
        <v>Normal</v>
      </c>
    </row>
    <row r="1024" spans="1:16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  <c r="O1024" t="str">
        <f>IF(OR(F1024&lt;'EDA Analysis'!$B$22,F1024&gt;'EDA Analysis'!$B$23),"OUTLIER","Normal")</f>
        <v>Normal</v>
      </c>
      <c r="P1024" t="str">
        <f>IF(OR(N1024&lt;'EDA Analysis'!$E$6,N1024&gt;'EDA Analysis'!$E$7),"OUTLIER","Normal")</f>
        <v>Normal</v>
      </c>
    </row>
    <row r="1025" spans="1:16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  <c r="O1025" t="str">
        <f>IF(OR(F1025&lt;'EDA Analysis'!$B$22,F1025&gt;'EDA Analysis'!$B$23),"OUTLIER","Normal")</f>
        <v>Normal</v>
      </c>
      <c r="P1025" t="str">
        <f>IF(OR(N1025&lt;'EDA Analysis'!$E$6,N1025&gt;'EDA Analysis'!$E$7),"OUTLIER","Normal")</f>
        <v>Normal</v>
      </c>
    </row>
    <row r="1026" spans="1:16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  <c r="O1026" t="str">
        <f>IF(OR(F1026&lt;'EDA Analysis'!$B$22,F1026&gt;'EDA Analysis'!$B$23),"OUTLIER","Normal")</f>
        <v>Normal</v>
      </c>
      <c r="P1026" t="str">
        <f>IF(OR(N1026&lt;'EDA Analysis'!$E$6,N1026&gt;'EDA Analysis'!$E$7),"OUTLIER","Normal")</f>
        <v>Normal</v>
      </c>
    </row>
    <row r="1027" spans="1:16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  <c r="O1027" t="str">
        <f>IF(OR(F1027&lt;'EDA Analysis'!$B$22,F1027&gt;'EDA Analysis'!$B$23),"OUTLIER","Normal")</f>
        <v>Normal</v>
      </c>
      <c r="P1027" t="str">
        <f>IF(OR(N1027&lt;'EDA Analysis'!$E$6,N1027&gt;'EDA Analysis'!$E$7),"OUTLIER","Normal")</f>
        <v>Normal</v>
      </c>
    </row>
    <row r="1028" spans="1:16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  <c r="O1028" t="str">
        <f>IF(OR(F1028&lt;'EDA Analysis'!$B$22,F1028&gt;'EDA Analysis'!$B$23),"OUTLIER","Normal")</f>
        <v>Normal</v>
      </c>
      <c r="P1028" t="str">
        <f>IF(OR(N1028&lt;'EDA Analysis'!$E$6,N1028&gt;'EDA Analysis'!$E$7),"OUTLIER","Normal")</f>
        <v>Normal</v>
      </c>
    </row>
    <row r="1029" spans="1:16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  <c r="O1029" t="str">
        <f>IF(OR(F1029&lt;'EDA Analysis'!$B$22,F1029&gt;'EDA Analysis'!$B$23),"OUTLIER","Normal")</f>
        <v>Normal</v>
      </c>
      <c r="P1029" t="str">
        <f>IF(OR(N1029&lt;'EDA Analysis'!$E$6,N1029&gt;'EDA Analysis'!$E$7),"OUTLIER","Normal")</f>
        <v>Normal</v>
      </c>
    </row>
    <row r="1030" spans="1:16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  <c r="O1030" t="str">
        <f>IF(OR(F1030&lt;'EDA Analysis'!$B$22,F1030&gt;'EDA Analysis'!$B$23),"OUTLIER","Normal")</f>
        <v>Normal</v>
      </c>
      <c r="P1030" t="str">
        <f>IF(OR(N1030&lt;'EDA Analysis'!$E$6,N1030&gt;'EDA Analysis'!$E$7),"OUTLIER","Normal")</f>
        <v>Normal</v>
      </c>
    </row>
    <row r="1031" spans="1:16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  <c r="O1031" t="str">
        <f>IF(OR(F1031&lt;'EDA Analysis'!$B$22,F1031&gt;'EDA Analysis'!$B$23),"OUTLIER","Normal")</f>
        <v>Normal</v>
      </c>
      <c r="P1031" t="str">
        <f>IF(OR(N1031&lt;'EDA Analysis'!$E$6,N1031&gt;'EDA Analysis'!$E$7),"OUTLIER","Normal")</f>
        <v>Normal</v>
      </c>
    </row>
    <row r="1032" spans="1:16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  <c r="O1032" t="str">
        <f>IF(OR(F1032&lt;'EDA Analysis'!$B$22,F1032&gt;'EDA Analysis'!$B$23),"OUTLIER","Normal")</f>
        <v>Normal</v>
      </c>
      <c r="P1032" t="str">
        <f>IF(OR(N1032&lt;'EDA Analysis'!$E$6,N1032&gt;'EDA Analysis'!$E$7),"OUTLIER","Normal")</f>
        <v>Normal</v>
      </c>
    </row>
    <row r="1033" spans="1:16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  <c r="O1033" t="str">
        <f>IF(OR(F1033&lt;'EDA Analysis'!$B$22,F1033&gt;'EDA Analysis'!$B$23),"OUTLIER","Normal")</f>
        <v>Normal</v>
      </c>
      <c r="P1033" t="str">
        <f>IF(OR(N1033&lt;'EDA Analysis'!$E$6,N1033&gt;'EDA Analysis'!$E$7),"OUTLIER","Normal")</f>
        <v>Normal</v>
      </c>
    </row>
    <row r="1034" spans="1:16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  <c r="O1034" t="str">
        <f>IF(OR(F1034&lt;'EDA Analysis'!$B$22,F1034&gt;'EDA Analysis'!$B$23),"OUTLIER","Normal")</f>
        <v>Normal</v>
      </c>
      <c r="P1034" t="str">
        <f>IF(OR(N1034&lt;'EDA Analysis'!$E$6,N1034&gt;'EDA Analysis'!$E$7),"OUTLIER","Normal")</f>
        <v>Normal</v>
      </c>
    </row>
    <row r="1035" spans="1:16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  <c r="O1035" t="str">
        <f>IF(OR(F1035&lt;'EDA Analysis'!$B$22,F1035&gt;'EDA Analysis'!$B$23),"OUTLIER","Normal")</f>
        <v>Normal</v>
      </c>
      <c r="P1035" t="str">
        <f>IF(OR(N1035&lt;'EDA Analysis'!$E$6,N1035&gt;'EDA Analysis'!$E$7),"OUTLIER","Normal")</f>
        <v>Normal</v>
      </c>
    </row>
    <row r="1036" spans="1:16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  <c r="O1036" t="str">
        <f>IF(OR(F1036&lt;'EDA Analysis'!$B$22,F1036&gt;'EDA Analysis'!$B$23),"OUTLIER","Normal")</f>
        <v>Normal</v>
      </c>
      <c r="P1036" t="str">
        <f>IF(OR(N1036&lt;'EDA Analysis'!$E$6,N1036&gt;'EDA Analysis'!$E$7),"OUTLIER","Normal")</f>
        <v>Normal</v>
      </c>
    </row>
    <row r="1037" spans="1:16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  <c r="O1037" t="str">
        <f>IF(OR(F1037&lt;'EDA Analysis'!$B$22,F1037&gt;'EDA Analysis'!$B$23),"OUTLIER","Normal")</f>
        <v>Normal</v>
      </c>
      <c r="P1037" t="str">
        <f>IF(OR(N1037&lt;'EDA Analysis'!$E$6,N1037&gt;'EDA Analysis'!$E$7),"OUTLIER","Normal")</f>
        <v>Normal</v>
      </c>
    </row>
    <row r="1038" spans="1:16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  <c r="O1038" t="str">
        <f>IF(OR(F1038&lt;'EDA Analysis'!$B$22,F1038&gt;'EDA Analysis'!$B$23),"OUTLIER","Normal")</f>
        <v>Normal</v>
      </c>
      <c r="P1038" t="str">
        <f>IF(OR(N1038&lt;'EDA Analysis'!$E$6,N1038&gt;'EDA Analysis'!$E$7),"OUTLIER","Normal")</f>
        <v>Normal</v>
      </c>
    </row>
    <row r="1039" spans="1:16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  <c r="O1039" t="str">
        <f>IF(OR(F1039&lt;'EDA Analysis'!$B$22,F1039&gt;'EDA Analysis'!$B$23),"OUTLIER","Normal")</f>
        <v>Normal</v>
      </c>
      <c r="P1039" t="str">
        <f>IF(OR(N1039&lt;'EDA Analysis'!$E$6,N1039&gt;'EDA Analysis'!$E$7),"OUTLIER","Normal")</f>
        <v>Normal</v>
      </c>
    </row>
    <row r="1040" spans="1:16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  <c r="O1040" t="str">
        <f>IF(OR(F1040&lt;'EDA Analysis'!$B$22,F1040&gt;'EDA Analysis'!$B$23),"OUTLIER","Normal")</f>
        <v>Normal</v>
      </c>
      <c r="P1040" t="str">
        <f>IF(OR(N1040&lt;'EDA Analysis'!$E$6,N1040&gt;'EDA Analysis'!$E$7),"OUTLIER","Normal")</f>
        <v>Normal</v>
      </c>
    </row>
    <row r="1041" spans="1:16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  <c r="O1041" t="str">
        <f>IF(OR(F1041&lt;'EDA Analysis'!$B$22,F1041&gt;'EDA Analysis'!$B$23),"OUTLIER","Normal")</f>
        <v>Normal</v>
      </c>
      <c r="P1041" t="str">
        <f>IF(OR(N1041&lt;'EDA Analysis'!$E$6,N1041&gt;'EDA Analysis'!$E$7),"OUTLIER","Normal")</f>
        <v>Normal</v>
      </c>
    </row>
    <row r="1042" spans="1:16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  <c r="O1042" t="str">
        <f>IF(OR(F1042&lt;'EDA Analysis'!$B$22,F1042&gt;'EDA Analysis'!$B$23),"OUTLIER","Normal")</f>
        <v>Normal</v>
      </c>
      <c r="P1042" t="str">
        <f>IF(OR(N1042&lt;'EDA Analysis'!$E$6,N1042&gt;'EDA Analysis'!$E$7),"OUTLIER","Normal")</f>
        <v>Normal</v>
      </c>
    </row>
    <row r="1043" spans="1:16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  <c r="O1043" t="str">
        <f>IF(OR(F1043&lt;'EDA Analysis'!$B$22,F1043&gt;'EDA Analysis'!$B$23),"OUTLIER","Normal")</f>
        <v>Normal</v>
      </c>
      <c r="P1043" t="str">
        <f>IF(OR(N1043&lt;'EDA Analysis'!$E$6,N1043&gt;'EDA Analysis'!$E$7),"OUTLIER","Normal")</f>
        <v>Normal</v>
      </c>
    </row>
    <row r="1044" spans="1:16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  <c r="O1044" t="str">
        <f>IF(OR(F1044&lt;'EDA Analysis'!$B$22,F1044&gt;'EDA Analysis'!$B$23),"OUTLIER","Normal")</f>
        <v>Normal</v>
      </c>
      <c r="P1044" t="str">
        <f>IF(OR(N1044&lt;'EDA Analysis'!$E$6,N1044&gt;'EDA Analysis'!$E$7),"OUTLIER","Normal")</f>
        <v>Normal</v>
      </c>
    </row>
    <row r="1045" spans="1:16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  <c r="O1045" t="str">
        <f>IF(OR(F1045&lt;'EDA Analysis'!$B$22,F1045&gt;'EDA Analysis'!$B$23),"OUTLIER","Normal")</f>
        <v>Normal</v>
      </c>
      <c r="P1045" t="str">
        <f>IF(OR(N1045&lt;'EDA Analysis'!$E$6,N1045&gt;'EDA Analysis'!$E$7),"OUTLIER","Normal")</f>
        <v>Normal</v>
      </c>
    </row>
    <row r="1046" spans="1:16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  <c r="O1046" t="str">
        <f>IF(OR(F1046&lt;'EDA Analysis'!$B$22,F1046&gt;'EDA Analysis'!$B$23),"OUTLIER","Normal")</f>
        <v>Normal</v>
      </c>
      <c r="P1046" t="str">
        <f>IF(OR(N1046&lt;'EDA Analysis'!$E$6,N1046&gt;'EDA Analysis'!$E$7),"OUTLIER","Normal")</f>
        <v>Normal</v>
      </c>
    </row>
    <row r="1047" spans="1:16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  <c r="O1047" t="str">
        <f>IF(OR(F1047&lt;'EDA Analysis'!$B$22,F1047&gt;'EDA Analysis'!$B$23),"OUTLIER","Normal")</f>
        <v>Normal</v>
      </c>
      <c r="P1047" t="str">
        <f>IF(OR(N1047&lt;'EDA Analysis'!$E$6,N1047&gt;'EDA Analysis'!$E$7),"OUTLIER","Normal")</f>
        <v>Normal</v>
      </c>
    </row>
    <row r="1048" spans="1:16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  <c r="O1048" t="str">
        <f>IF(OR(F1048&lt;'EDA Analysis'!$B$22,F1048&gt;'EDA Analysis'!$B$23),"OUTLIER","Normal")</f>
        <v>Normal</v>
      </c>
      <c r="P1048" t="str">
        <f>IF(OR(N1048&lt;'EDA Analysis'!$E$6,N1048&gt;'EDA Analysis'!$E$7),"OUTLIER","Normal")</f>
        <v>Normal</v>
      </c>
    </row>
    <row r="1049" spans="1:16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  <c r="O1049" t="str">
        <f>IF(OR(F1049&lt;'EDA Analysis'!$B$22,F1049&gt;'EDA Analysis'!$B$23),"OUTLIER","Normal")</f>
        <v>Normal</v>
      </c>
      <c r="P1049" t="str">
        <f>IF(OR(N1049&lt;'EDA Analysis'!$E$6,N1049&gt;'EDA Analysis'!$E$7),"OUTLIER","Normal")</f>
        <v>Normal</v>
      </c>
    </row>
    <row r="1050" spans="1:16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  <c r="O1050" t="str">
        <f>IF(OR(F1050&lt;'EDA Analysis'!$B$22,F1050&gt;'EDA Analysis'!$B$23),"OUTLIER","Normal")</f>
        <v>Normal</v>
      </c>
      <c r="P1050" t="str">
        <f>IF(OR(N1050&lt;'EDA Analysis'!$E$6,N1050&gt;'EDA Analysis'!$E$7),"OUTLIER","Normal")</f>
        <v>Normal</v>
      </c>
    </row>
    <row r="1051" spans="1:16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  <c r="O1051" t="str">
        <f>IF(OR(F1051&lt;'EDA Analysis'!$B$22,F1051&gt;'EDA Analysis'!$B$23),"OUTLIER","Normal")</f>
        <v>Normal</v>
      </c>
      <c r="P1051" t="str">
        <f>IF(OR(N1051&lt;'EDA Analysis'!$E$6,N1051&gt;'EDA Analysis'!$E$7),"OUTLIER","Normal")</f>
        <v>Normal</v>
      </c>
    </row>
    <row r="1052" spans="1:16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  <c r="O1052" t="str">
        <f>IF(OR(F1052&lt;'EDA Analysis'!$B$22,F1052&gt;'EDA Analysis'!$B$23),"OUTLIER","Normal")</f>
        <v>Normal</v>
      </c>
      <c r="P1052" t="str">
        <f>IF(OR(N1052&lt;'EDA Analysis'!$E$6,N1052&gt;'EDA Analysis'!$E$7),"OUTLIER","Normal")</f>
        <v>Normal</v>
      </c>
    </row>
    <row r="1053" spans="1:16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  <c r="O1053" t="str">
        <f>IF(OR(F1053&lt;'EDA Analysis'!$B$22,F1053&gt;'EDA Analysis'!$B$23),"OUTLIER","Normal")</f>
        <v>Normal</v>
      </c>
      <c r="P1053" t="str">
        <f>IF(OR(N1053&lt;'EDA Analysis'!$E$6,N1053&gt;'EDA Analysis'!$E$7),"OUTLIER","Normal")</f>
        <v>Normal</v>
      </c>
    </row>
    <row r="1054" spans="1:16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  <c r="O1054" t="str">
        <f>IF(OR(F1054&lt;'EDA Analysis'!$B$22,F1054&gt;'EDA Analysis'!$B$23),"OUTLIER","Normal")</f>
        <v>Normal</v>
      </c>
      <c r="P1054" t="str">
        <f>IF(OR(N1054&lt;'EDA Analysis'!$E$6,N1054&gt;'EDA Analysis'!$E$7),"OUTLIER","Normal")</f>
        <v>Normal</v>
      </c>
    </row>
    <row r="1055" spans="1:16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  <c r="O1055" t="str">
        <f>IF(OR(F1055&lt;'EDA Analysis'!$B$22,F1055&gt;'EDA Analysis'!$B$23),"OUTLIER","Normal")</f>
        <v>Normal</v>
      </c>
      <c r="P1055" t="str">
        <f>IF(OR(N1055&lt;'EDA Analysis'!$E$6,N1055&gt;'EDA Analysis'!$E$7),"OUTLIER","Normal")</f>
        <v>Normal</v>
      </c>
    </row>
    <row r="1056" spans="1:16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  <c r="O1056" t="str">
        <f>IF(OR(F1056&lt;'EDA Analysis'!$B$22,F1056&gt;'EDA Analysis'!$B$23),"OUTLIER","Normal")</f>
        <v>Normal</v>
      </c>
      <c r="P1056" t="str">
        <f>IF(OR(N1056&lt;'EDA Analysis'!$E$6,N1056&gt;'EDA Analysis'!$E$7),"OUTLIER","Normal")</f>
        <v>Normal</v>
      </c>
    </row>
    <row r="1057" spans="1:16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  <c r="O1057" t="str">
        <f>IF(OR(F1057&lt;'EDA Analysis'!$B$22,F1057&gt;'EDA Analysis'!$B$23),"OUTLIER","Normal")</f>
        <v>Normal</v>
      </c>
      <c r="P1057" t="str">
        <f>IF(OR(N1057&lt;'EDA Analysis'!$E$6,N1057&gt;'EDA Analysis'!$E$7),"OUTLIER","Normal")</f>
        <v>Normal</v>
      </c>
    </row>
    <row r="1058" spans="1:16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  <c r="O1058" t="str">
        <f>IF(OR(F1058&lt;'EDA Analysis'!$B$22,F1058&gt;'EDA Analysis'!$B$23),"OUTLIER","Normal")</f>
        <v>Normal</v>
      </c>
      <c r="P1058" t="str">
        <f>IF(OR(N1058&lt;'EDA Analysis'!$E$6,N1058&gt;'EDA Analysis'!$E$7),"OUTLIER","Normal")</f>
        <v>Normal</v>
      </c>
    </row>
    <row r="1059" spans="1:16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  <c r="O1059" t="str">
        <f>IF(OR(F1059&lt;'EDA Analysis'!$B$22,F1059&gt;'EDA Analysis'!$B$23),"OUTLIER","Normal")</f>
        <v>Normal</v>
      </c>
      <c r="P1059" t="str">
        <f>IF(OR(N1059&lt;'EDA Analysis'!$E$6,N1059&gt;'EDA Analysis'!$E$7),"OUTLIER","Normal")</f>
        <v>Normal</v>
      </c>
    </row>
    <row r="1060" spans="1:16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  <c r="O1060" t="str">
        <f>IF(OR(F1060&lt;'EDA Analysis'!$B$22,F1060&gt;'EDA Analysis'!$B$23),"OUTLIER","Normal")</f>
        <v>Normal</v>
      </c>
      <c r="P1060" t="str">
        <f>IF(OR(N1060&lt;'EDA Analysis'!$E$6,N1060&gt;'EDA Analysis'!$E$7),"OUTLIER","Normal")</f>
        <v>Normal</v>
      </c>
    </row>
    <row r="1061" spans="1:16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  <c r="O1061" t="str">
        <f>IF(OR(F1061&lt;'EDA Analysis'!$B$22,F1061&gt;'EDA Analysis'!$B$23),"OUTLIER","Normal")</f>
        <v>Normal</v>
      </c>
      <c r="P1061" t="str">
        <f>IF(OR(N1061&lt;'EDA Analysis'!$E$6,N1061&gt;'EDA Analysis'!$E$7),"OUTLIER","Normal")</f>
        <v>Normal</v>
      </c>
    </row>
    <row r="1062" spans="1:16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  <c r="O1062" t="str">
        <f>IF(OR(F1062&lt;'EDA Analysis'!$B$22,F1062&gt;'EDA Analysis'!$B$23),"OUTLIER","Normal")</f>
        <v>Normal</v>
      </c>
      <c r="P1062" t="str">
        <f>IF(OR(N1062&lt;'EDA Analysis'!$E$6,N1062&gt;'EDA Analysis'!$E$7),"OUTLIER","Normal")</f>
        <v>Normal</v>
      </c>
    </row>
    <row r="1063" spans="1:16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  <c r="O1063" t="str">
        <f>IF(OR(F1063&lt;'EDA Analysis'!$B$22,F1063&gt;'EDA Analysis'!$B$23),"OUTLIER","Normal")</f>
        <v>Normal</v>
      </c>
      <c r="P1063" t="str">
        <f>IF(OR(N1063&lt;'EDA Analysis'!$E$6,N1063&gt;'EDA Analysis'!$E$7),"OUTLIER","Normal")</f>
        <v>Normal</v>
      </c>
    </row>
    <row r="1064" spans="1:16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  <c r="O1064" t="str">
        <f>IF(OR(F1064&lt;'EDA Analysis'!$B$22,F1064&gt;'EDA Analysis'!$B$23),"OUTLIER","Normal")</f>
        <v>Normal</v>
      </c>
      <c r="P1064" t="str">
        <f>IF(OR(N1064&lt;'EDA Analysis'!$E$6,N1064&gt;'EDA Analysis'!$E$7),"OUTLIER","Normal")</f>
        <v>Normal</v>
      </c>
    </row>
    <row r="1065" spans="1:16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  <c r="O1065" t="str">
        <f>IF(OR(F1065&lt;'EDA Analysis'!$B$22,F1065&gt;'EDA Analysis'!$B$23),"OUTLIER","Normal")</f>
        <v>Normal</v>
      </c>
      <c r="P1065" t="str">
        <f>IF(OR(N1065&lt;'EDA Analysis'!$E$6,N1065&gt;'EDA Analysis'!$E$7),"OUTLIER","Normal")</f>
        <v>Normal</v>
      </c>
    </row>
    <row r="1066" spans="1:16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  <c r="O1066" t="str">
        <f>IF(OR(F1066&lt;'EDA Analysis'!$B$22,F1066&gt;'EDA Analysis'!$B$23),"OUTLIER","Normal")</f>
        <v>Normal</v>
      </c>
      <c r="P1066" t="str">
        <f>IF(OR(N1066&lt;'EDA Analysis'!$E$6,N1066&gt;'EDA Analysis'!$E$7),"OUTLIER","Normal")</f>
        <v>Normal</v>
      </c>
    </row>
    <row r="1067" spans="1:16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  <c r="O1067" t="str">
        <f>IF(OR(F1067&lt;'EDA Analysis'!$B$22,F1067&gt;'EDA Analysis'!$B$23),"OUTLIER","Normal")</f>
        <v>Normal</v>
      </c>
      <c r="P1067" t="str">
        <f>IF(OR(N1067&lt;'EDA Analysis'!$E$6,N1067&gt;'EDA Analysis'!$E$7),"OUTLIER","Normal")</f>
        <v>OUTLIER</v>
      </c>
    </row>
    <row r="1068" spans="1:16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  <c r="O1068" t="str">
        <f>IF(OR(F1068&lt;'EDA Analysis'!$B$22,F1068&gt;'EDA Analysis'!$B$23),"OUTLIER","Normal")</f>
        <v>Normal</v>
      </c>
      <c r="P1068" t="str">
        <f>IF(OR(N1068&lt;'EDA Analysis'!$E$6,N1068&gt;'EDA Analysis'!$E$7),"OUTLIER","Normal")</f>
        <v>Normal</v>
      </c>
    </row>
    <row r="1069" spans="1:16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  <c r="O1069" t="str">
        <f>IF(OR(F1069&lt;'EDA Analysis'!$B$22,F1069&gt;'EDA Analysis'!$B$23),"OUTLIER","Normal")</f>
        <v>Normal</v>
      </c>
      <c r="P1069" t="str">
        <f>IF(OR(N1069&lt;'EDA Analysis'!$E$6,N1069&gt;'EDA Analysis'!$E$7),"OUTLIER","Normal")</f>
        <v>Normal</v>
      </c>
    </row>
    <row r="1070" spans="1:16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  <c r="O1070" t="str">
        <f>IF(OR(F1070&lt;'EDA Analysis'!$B$22,F1070&gt;'EDA Analysis'!$B$23),"OUTLIER","Normal")</f>
        <v>Normal</v>
      </c>
      <c r="P1070" t="str">
        <f>IF(OR(N1070&lt;'EDA Analysis'!$E$6,N1070&gt;'EDA Analysis'!$E$7),"OUTLIER","Normal")</f>
        <v>Normal</v>
      </c>
    </row>
    <row r="1071" spans="1:16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  <c r="O1071" t="str">
        <f>IF(OR(F1071&lt;'EDA Analysis'!$B$22,F1071&gt;'EDA Analysis'!$B$23),"OUTLIER","Normal")</f>
        <v>Normal</v>
      </c>
      <c r="P1071" t="str">
        <f>IF(OR(N1071&lt;'EDA Analysis'!$E$6,N1071&gt;'EDA Analysis'!$E$7),"OUTLIER","Normal")</f>
        <v>Normal</v>
      </c>
    </row>
    <row r="1072" spans="1:16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  <c r="O1072" t="str">
        <f>IF(OR(F1072&lt;'EDA Analysis'!$B$22,F1072&gt;'EDA Analysis'!$B$23),"OUTLIER","Normal")</f>
        <v>Normal</v>
      </c>
      <c r="P1072" t="str">
        <f>IF(OR(N1072&lt;'EDA Analysis'!$E$6,N1072&gt;'EDA Analysis'!$E$7),"OUTLIER","Normal")</f>
        <v>Normal</v>
      </c>
    </row>
    <row r="1073" spans="1:16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  <c r="O1073" t="str">
        <f>IF(OR(F1073&lt;'EDA Analysis'!$B$22,F1073&gt;'EDA Analysis'!$B$23),"OUTLIER","Normal")</f>
        <v>Normal</v>
      </c>
      <c r="P1073" t="str">
        <f>IF(OR(N1073&lt;'EDA Analysis'!$E$6,N1073&gt;'EDA Analysis'!$E$7),"OUTLIER","Normal")</f>
        <v>Normal</v>
      </c>
    </row>
    <row r="1074" spans="1:16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  <c r="O1074" t="str">
        <f>IF(OR(F1074&lt;'EDA Analysis'!$B$22,F1074&gt;'EDA Analysis'!$B$23),"OUTLIER","Normal")</f>
        <v>Normal</v>
      </c>
      <c r="P1074" t="str">
        <f>IF(OR(N1074&lt;'EDA Analysis'!$E$6,N1074&gt;'EDA Analysis'!$E$7),"OUTLIER","Normal")</f>
        <v>Normal</v>
      </c>
    </row>
    <row r="1075" spans="1:16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  <c r="O1075" t="str">
        <f>IF(OR(F1075&lt;'EDA Analysis'!$B$22,F1075&gt;'EDA Analysis'!$B$23),"OUTLIER","Normal")</f>
        <v>Normal</v>
      </c>
      <c r="P1075" t="str">
        <f>IF(OR(N1075&lt;'EDA Analysis'!$E$6,N1075&gt;'EDA Analysis'!$E$7),"OUTLIER","Normal")</f>
        <v>Normal</v>
      </c>
    </row>
    <row r="1076" spans="1:16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  <c r="O1076" t="str">
        <f>IF(OR(F1076&lt;'EDA Analysis'!$B$22,F1076&gt;'EDA Analysis'!$B$23),"OUTLIER","Normal")</f>
        <v>Normal</v>
      </c>
      <c r="P1076" t="str">
        <f>IF(OR(N1076&lt;'EDA Analysis'!$E$6,N1076&gt;'EDA Analysis'!$E$7),"OUTLIER","Normal")</f>
        <v>Normal</v>
      </c>
    </row>
    <row r="1077" spans="1:16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  <c r="O1077" t="str">
        <f>IF(OR(F1077&lt;'EDA Analysis'!$B$22,F1077&gt;'EDA Analysis'!$B$23),"OUTLIER","Normal")</f>
        <v>Normal</v>
      </c>
      <c r="P1077" t="str">
        <f>IF(OR(N1077&lt;'EDA Analysis'!$E$6,N1077&gt;'EDA Analysis'!$E$7),"OUTLIER","Normal")</f>
        <v>Normal</v>
      </c>
    </row>
    <row r="1078" spans="1:16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  <c r="O1078" t="str">
        <f>IF(OR(F1078&lt;'EDA Analysis'!$B$22,F1078&gt;'EDA Analysis'!$B$23),"OUTLIER","Normal")</f>
        <v>Normal</v>
      </c>
      <c r="P1078" t="str">
        <f>IF(OR(N1078&lt;'EDA Analysis'!$E$6,N1078&gt;'EDA Analysis'!$E$7),"OUTLIER","Normal")</f>
        <v>Normal</v>
      </c>
    </row>
    <row r="1079" spans="1:16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  <c r="O1079" t="str">
        <f>IF(OR(F1079&lt;'EDA Analysis'!$B$22,F1079&gt;'EDA Analysis'!$B$23),"OUTLIER","Normal")</f>
        <v>Normal</v>
      </c>
      <c r="P1079" t="str">
        <f>IF(OR(N1079&lt;'EDA Analysis'!$E$6,N1079&gt;'EDA Analysis'!$E$7),"OUTLIER","Normal")</f>
        <v>Normal</v>
      </c>
    </row>
    <row r="1080" spans="1:16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  <c r="O1080" t="str">
        <f>IF(OR(F1080&lt;'EDA Analysis'!$B$22,F1080&gt;'EDA Analysis'!$B$23),"OUTLIER","Normal")</f>
        <v>Normal</v>
      </c>
      <c r="P1080" t="str">
        <f>IF(OR(N1080&lt;'EDA Analysis'!$E$6,N1080&gt;'EDA Analysis'!$E$7),"OUTLIER","Normal")</f>
        <v>Normal</v>
      </c>
    </row>
    <row r="1081" spans="1:16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  <c r="O1081" t="str">
        <f>IF(OR(F1081&lt;'EDA Analysis'!$B$22,F1081&gt;'EDA Analysis'!$B$23),"OUTLIER","Normal")</f>
        <v>Normal</v>
      </c>
      <c r="P1081" t="str">
        <f>IF(OR(N1081&lt;'EDA Analysis'!$E$6,N1081&gt;'EDA Analysis'!$E$7),"OUTLIER","Normal")</f>
        <v>Normal</v>
      </c>
    </row>
    <row r="1082" spans="1:16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  <c r="O1082" t="str">
        <f>IF(OR(F1082&lt;'EDA Analysis'!$B$22,F1082&gt;'EDA Analysis'!$B$23),"OUTLIER","Normal")</f>
        <v>Normal</v>
      </c>
      <c r="P1082" t="str">
        <f>IF(OR(N1082&lt;'EDA Analysis'!$E$6,N1082&gt;'EDA Analysis'!$E$7),"OUTLIER","Normal")</f>
        <v>Normal</v>
      </c>
    </row>
    <row r="1083" spans="1:16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  <c r="O1083" t="str">
        <f>IF(OR(F1083&lt;'EDA Analysis'!$B$22,F1083&gt;'EDA Analysis'!$B$23),"OUTLIER","Normal")</f>
        <v>Normal</v>
      </c>
      <c r="P1083" t="str">
        <f>IF(OR(N1083&lt;'EDA Analysis'!$E$6,N1083&gt;'EDA Analysis'!$E$7),"OUTLIER","Normal")</f>
        <v>Normal</v>
      </c>
    </row>
    <row r="1084" spans="1:16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  <c r="O1084" t="str">
        <f>IF(OR(F1084&lt;'EDA Analysis'!$B$22,F1084&gt;'EDA Analysis'!$B$23),"OUTLIER","Normal")</f>
        <v>Normal</v>
      </c>
      <c r="P1084" t="str">
        <f>IF(OR(N1084&lt;'EDA Analysis'!$E$6,N1084&gt;'EDA Analysis'!$E$7),"OUTLIER","Normal")</f>
        <v>Normal</v>
      </c>
    </row>
    <row r="1085" spans="1:16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  <c r="O1085" t="str">
        <f>IF(OR(F1085&lt;'EDA Analysis'!$B$22,F1085&gt;'EDA Analysis'!$B$23),"OUTLIER","Normal")</f>
        <v>Normal</v>
      </c>
      <c r="P1085" t="str">
        <f>IF(OR(N1085&lt;'EDA Analysis'!$E$6,N1085&gt;'EDA Analysis'!$E$7),"OUTLIER","Normal")</f>
        <v>Normal</v>
      </c>
    </row>
    <row r="1086" spans="1:16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  <c r="O1086" t="str">
        <f>IF(OR(F1086&lt;'EDA Analysis'!$B$22,F1086&gt;'EDA Analysis'!$B$23),"OUTLIER","Normal")</f>
        <v>Normal</v>
      </c>
      <c r="P1086" t="str">
        <f>IF(OR(N1086&lt;'EDA Analysis'!$E$6,N1086&gt;'EDA Analysis'!$E$7),"OUTLIER","Normal")</f>
        <v>Normal</v>
      </c>
    </row>
    <row r="1087" spans="1:16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  <c r="O1087" t="str">
        <f>IF(OR(F1087&lt;'EDA Analysis'!$B$22,F1087&gt;'EDA Analysis'!$B$23),"OUTLIER","Normal")</f>
        <v>Normal</v>
      </c>
      <c r="P1087" t="str">
        <f>IF(OR(N1087&lt;'EDA Analysis'!$E$6,N1087&gt;'EDA Analysis'!$E$7),"OUTLIER","Normal")</f>
        <v>Normal</v>
      </c>
    </row>
    <row r="1088" spans="1:16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  <c r="O1088" t="str">
        <f>IF(OR(F1088&lt;'EDA Analysis'!$B$22,F1088&gt;'EDA Analysis'!$B$23),"OUTLIER","Normal")</f>
        <v>Normal</v>
      </c>
      <c r="P1088" t="str">
        <f>IF(OR(N1088&lt;'EDA Analysis'!$E$6,N1088&gt;'EDA Analysis'!$E$7),"OUTLIER","Normal")</f>
        <v>Normal</v>
      </c>
    </row>
    <row r="1089" spans="1:16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  <c r="O1089" t="str">
        <f>IF(OR(F1089&lt;'EDA Analysis'!$B$22,F1089&gt;'EDA Analysis'!$B$23),"OUTLIER","Normal")</f>
        <v>Normal</v>
      </c>
      <c r="P1089" t="str">
        <f>IF(OR(N1089&lt;'EDA Analysis'!$E$6,N1089&gt;'EDA Analysis'!$E$7),"OUTLIER","Normal")</f>
        <v>Normal</v>
      </c>
    </row>
    <row r="1090" spans="1:16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  <c r="O1090" t="str">
        <f>IF(OR(F1090&lt;'EDA Analysis'!$B$22,F1090&gt;'EDA Analysis'!$B$23),"OUTLIER","Normal")</f>
        <v>Normal</v>
      </c>
      <c r="P1090" t="str">
        <f>IF(OR(N1090&lt;'EDA Analysis'!$E$6,N1090&gt;'EDA Analysis'!$E$7),"OUTLIER","Normal")</f>
        <v>Normal</v>
      </c>
    </row>
    <row r="1091" spans="1:16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  <c r="O1091" t="str">
        <f>IF(OR(F1091&lt;'EDA Analysis'!$B$22,F1091&gt;'EDA Analysis'!$B$23),"OUTLIER","Normal")</f>
        <v>Normal</v>
      </c>
      <c r="P1091" t="str">
        <f>IF(OR(N1091&lt;'EDA Analysis'!$E$6,N1091&gt;'EDA Analysis'!$E$7),"OUTLIER","Normal")</f>
        <v>Normal</v>
      </c>
    </row>
    <row r="1092" spans="1:16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  <c r="O1092" t="str">
        <f>IF(OR(F1092&lt;'EDA Analysis'!$B$22,F1092&gt;'EDA Analysis'!$B$23),"OUTLIER","Normal")</f>
        <v>Normal</v>
      </c>
      <c r="P1092" t="str">
        <f>IF(OR(N1092&lt;'EDA Analysis'!$E$6,N1092&gt;'EDA Analysis'!$E$7),"OUTLIER","Normal")</f>
        <v>Normal</v>
      </c>
    </row>
    <row r="1093" spans="1:16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  <c r="O1093" t="str">
        <f>IF(OR(F1093&lt;'EDA Analysis'!$B$22,F1093&gt;'EDA Analysis'!$B$23),"OUTLIER","Normal")</f>
        <v>Normal</v>
      </c>
      <c r="P1093" t="str">
        <f>IF(OR(N1093&lt;'EDA Analysis'!$E$6,N1093&gt;'EDA Analysis'!$E$7),"OUTLIER","Normal")</f>
        <v>Normal</v>
      </c>
    </row>
    <row r="1094" spans="1:16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  <c r="O1094" t="str">
        <f>IF(OR(F1094&lt;'EDA Analysis'!$B$22,F1094&gt;'EDA Analysis'!$B$23),"OUTLIER","Normal")</f>
        <v>Normal</v>
      </c>
      <c r="P1094" t="str">
        <f>IF(OR(N1094&lt;'EDA Analysis'!$E$6,N1094&gt;'EDA Analysis'!$E$7),"OUTLIER","Normal")</f>
        <v>Normal</v>
      </c>
    </row>
    <row r="1095" spans="1:16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  <c r="O1095" t="str">
        <f>IF(OR(F1095&lt;'EDA Analysis'!$B$22,F1095&gt;'EDA Analysis'!$B$23),"OUTLIER","Normal")</f>
        <v>Normal</v>
      </c>
      <c r="P1095" t="str">
        <f>IF(OR(N1095&lt;'EDA Analysis'!$E$6,N1095&gt;'EDA Analysis'!$E$7),"OUTLIER","Normal")</f>
        <v>Normal</v>
      </c>
    </row>
    <row r="1096" spans="1:16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  <c r="O1096" t="str">
        <f>IF(OR(F1096&lt;'EDA Analysis'!$B$22,F1096&gt;'EDA Analysis'!$B$23),"OUTLIER","Normal")</f>
        <v>Normal</v>
      </c>
      <c r="P1096" t="str">
        <f>IF(OR(N1096&lt;'EDA Analysis'!$E$6,N1096&gt;'EDA Analysis'!$E$7),"OUTLIER","Normal")</f>
        <v>Normal</v>
      </c>
    </row>
    <row r="1097" spans="1:16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  <c r="O1097" t="str">
        <f>IF(OR(F1097&lt;'EDA Analysis'!$B$22,F1097&gt;'EDA Analysis'!$B$23),"OUTLIER","Normal")</f>
        <v>Normal</v>
      </c>
      <c r="P1097" t="str">
        <f>IF(OR(N1097&lt;'EDA Analysis'!$E$6,N1097&gt;'EDA Analysis'!$E$7),"OUTLIER","Normal")</f>
        <v>Normal</v>
      </c>
    </row>
    <row r="1098" spans="1:16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  <c r="O1098" t="str">
        <f>IF(OR(F1098&lt;'EDA Analysis'!$B$22,F1098&gt;'EDA Analysis'!$B$23),"OUTLIER","Normal")</f>
        <v>Normal</v>
      </c>
      <c r="P1098" t="str">
        <f>IF(OR(N1098&lt;'EDA Analysis'!$E$6,N1098&gt;'EDA Analysis'!$E$7),"OUTLIER","Normal")</f>
        <v>Normal</v>
      </c>
    </row>
    <row r="1099" spans="1:16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  <c r="O1099" t="str">
        <f>IF(OR(F1099&lt;'EDA Analysis'!$B$22,F1099&gt;'EDA Analysis'!$B$23),"OUTLIER","Normal")</f>
        <v>Normal</v>
      </c>
      <c r="P1099" t="str">
        <f>IF(OR(N1099&lt;'EDA Analysis'!$E$6,N1099&gt;'EDA Analysis'!$E$7),"OUTLIER","Normal")</f>
        <v>Normal</v>
      </c>
    </row>
    <row r="1100" spans="1:16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  <c r="O1100" t="str">
        <f>IF(OR(F1100&lt;'EDA Analysis'!$B$22,F1100&gt;'EDA Analysis'!$B$23),"OUTLIER","Normal")</f>
        <v>Normal</v>
      </c>
      <c r="P1100" t="str">
        <f>IF(OR(N1100&lt;'EDA Analysis'!$E$6,N1100&gt;'EDA Analysis'!$E$7),"OUTLIER","Normal")</f>
        <v>Normal</v>
      </c>
    </row>
    <row r="1101" spans="1:16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  <c r="O1101" t="str">
        <f>IF(OR(F1101&lt;'EDA Analysis'!$B$22,F1101&gt;'EDA Analysis'!$B$23),"OUTLIER","Normal")</f>
        <v>Normal</v>
      </c>
      <c r="P1101" t="str">
        <f>IF(OR(N1101&lt;'EDA Analysis'!$E$6,N1101&gt;'EDA Analysis'!$E$7),"OUTLIER","Normal")</f>
        <v>Normal</v>
      </c>
    </row>
    <row r="1102" spans="1:16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  <c r="O1102" t="str">
        <f>IF(OR(F1102&lt;'EDA Analysis'!$B$22,F1102&gt;'EDA Analysis'!$B$23),"OUTLIER","Normal")</f>
        <v>Normal</v>
      </c>
      <c r="P1102" t="str">
        <f>IF(OR(N1102&lt;'EDA Analysis'!$E$6,N1102&gt;'EDA Analysis'!$E$7),"OUTLIER","Normal")</f>
        <v>Normal</v>
      </c>
    </row>
    <row r="1103" spans="1:16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  <c r="O1103" t="str">
        <f>IF(OR(F1103&lt;'EDA Analysis'!$B$22,F1103&gt;'EDA Analysis'!$B$23),"OUTLIER","Normal")</f>
        <v>Normal</v>
      </c>
      <c r="P1103" t="str">
        <f>IF(OR(N1103&lt;'EDA Analysis'!$E$6,N1103&gt;'EDA Analysis'!$E$7),"OUTLIER","Normal")</f>
        <v>Normal</v>
      </c>
    </row>
    <row r="1104" spans="1:16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  <c r="O1104" t="str">
        <f>IF(OR(F1104&lt;'EDA Analysis'!$B$22,F1104&gt;'EDA Analysis'!$B$23),"OUTLIER","Normal")</f>
        <v>Normal</v>
      </c>
      <c r="P1104" t="str">
        <f>IF(OR(N1104&lt;'EDA Analysis'!$E$6,N1104&gt;'EDA Analysis'!$E$7),"OUTLIER","Normal")</f>
        <v>Normal</v>
      </c>
    </row>
    <row r="1105" spans="1:16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  <c r="O1105" t="str">
        <f>IF(OR(F1105&lt;'EDA Analysis'!$B$22,F1105&gt;'EDA Analysis'!$B$23),"OUTLIER","Normal")</f>
        <v>Normal</v>
      </c>
      <c r="P1105" t="str">
        <f>IF(OR(N1105&lt;'EDA Analysis'!$E$6,N1105&gt;'EDA Analysis'!$E$7),"OUTLIER","Normal")</f>
        <v>Normal</v>
      </c>
    </row>
    <row r="1106" spans="1:16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  <c r="O1106" t="str">
        <f>IF(OR(F1106&lt;'EDA Analysis'!$B$22,F1106&gt;'EDA Analysis'!$B$23),"OUTLIER","Normal")</f>
        <v>Normal</v>
      </c>
      <c r="P1106" t="str">
        <f>IF(OR(N1106&lt;'EDA Analysis'!$E$6,N1106&gt;'EDA Analysis'!$E$7),"OUTLIER","Normal")</f>
        <v>Normal</v>
      </c>
    </row>
    <row r="1107" spans="1:16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  <c r="O1107" t="str">
        <f>IF(OR(F1107&lt;'EDA Analysis'!$B$22,F1107&gt;'EDA Analysis'!$B$23),"OUTLIER","Normal")</f>
        <v>Normal</v>
      </c>
      <c r="P1107" t="str">
        <f>IF(OR(N1107&lt;'EDA Analysis'!$E$6,N1107&gt;'EDA Analysis'!$E$7),"OUTLIER","Normal")</f>
        <v>Normal</v>
      </c>
    </row>
    <row r="1108" spans="1:16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  <c r="O1108" t="str">
        <f>IF(OR(F1108&lt;'EDA Analysis'!$B$22,F1108&gt;'EDA Analysis'!$B$23),"OUTLIER","Normal")</f>
        <v>Normal</v>
      </c>
      <c r="P1108" t="str">
        <f>IF(OR(N1108&lt;'EDA Analysis'!$E$6,N1108&gt;'EDA Analysis'!$E$7),"OUTLIER","Normal")</f>
        <v>Normal</v>
      </c>
    </row>
    <row r="1109" spans="1:16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  <c r="O1109" t="str">
        <f>IF(OR(F1109&lt;'EDA Analysis'!$B$22,F1109&gt;'EDA Analysis'!$B$23),"OUTLIER","Normal")</f>
        <v>Normal</v>
      </c>
      <c r="P1109" t="str">
        <f>IF(OR(N1109&lt;'EDA Analysis'!$E$6,N1109&gt;'EDA Analysis'!$E$7),"OUTLIER","Normal")</f>
        <v>Normal</v>
      </c>
    </row>
    <row r="1110" spans="1:16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  <c r="O1110" t="str">
        <f>IF(OR(F1110&lt;'EDA Analysis'!$B$22,F1110&gt;'EDA Analysis'!$B$23),"OUTLIER","Normal")</f>
        <v>Normal</v>
      </c>
      <c r="P1110" t="str">
        <f>IF(OR(N1110&lt;'EDA Analysis'!$E$6,N1110&gt;'EDA Analysis'!$E$7),"OUTLIER","Normal")</f>
        <v>Normal</v>
      </c>
    </row>
    <row r="1111" spans="1:16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  <c r="O1111" t="str">
        <f>IF(OR(F1111&lt;'EDA Analysis'!$B$22,F1111&gt;'EDA Analysis'!$B$23),"OUTLIER","Normal")</f>
        <v>Normal</v>
      </c>
      <c r="P1111" t="str">
        <f>IF(OR(N1111&lt;'EDA Analysis'!$E$6,N1111&gt;'EDA Analysis'!$E$7),"OUTLIER","Normal")</f>
        <v>Normal</v>
      </c>
    </row>
    <row r="1112" spans="1:16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  <c r="O1112" t="str">
        <f>IF(OR(F1112&lt;'EDA Analysis'!$B$22,F1112&gt;'EDA Analysis'!$B$23),"OUTLIER","Normal")</f>
        <v>Normal</v>
      </c>
      <c r="P1112" t="str">
        <f>IF(OR(N1112&lt;'EDA Analysis'!$E$6,N1112&gt;'EDA Analysis'!$E$7),"OUTLIER","Normal")</f>
        <v>Normal</v>
      </c>
    </row>
    <row r="1113" spans="1:16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  <c r="O1113" t="str">
        <f>IF(OR(F1113&lt;'EDA Analysis'!$B$22,F1113&gt;'EDA Analysis'!$B$23),"OUTLIER","Normal")</f>
        <v>Normal</v>
      </c>
      <c r="P1113" t="str">
        <f>IF(OR(N1113&lt;'EDA Analysis'!$E$6,N1113&gt;'EDA Analysis'!$E$7),"OUTLIER","Normal")</f>
        <v>Normal</v>
      </c>
    </row>
    <row r="1114" spans="1:16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  <c r="O1114" t="str">
        <f>IF(OR(F1114&lt;'EDA Analysis'!$B$22,F1114&gt;'EDA Analysis'!$B$23),"OUTLIER","Normal")</f>
        <v>Normal</v>
      </c>
      <c r="P1114" t="str">
        <f>IF(OR(N1114&lt;'EDA Analysis'!$E$6,N1114&gt;'EDA Analysis'!$E$7),"OUTLIER","Normal")</f>
        <v>Normal</v>
      </c>
    </row>
    <row r="1115" spans="1:16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  <c r="O1115" t="str">
        <f>IF(OR(F1115&lt;'EDA Analysis'!$B$22,F1115&gt;'EDA Analysis'!$B$23),"OUTLIER","Normal")</f>
        <v>Normal</v>
      </c>
      <c r="P1115" t="str">
        <f>IF(OR(N1115&lt;'EDA Analysis'!$E$6,N1115&gt;'EDA Analysis'!$E$7),"OUTLIER","Normal")</f>
        <v>Normal</v>
      </c>
    </row>
    <row r="1116" spans="1:16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  <c r="O1116" t="str">
        <f>IF(OR(F1116&lt;'EDA Analysis'!$B$22,F1116&gt;'EDA Analysis'!$B$23),"OUTLIER","Normal")</f>
        <v>Normal</v>
      </c>
      <c r="P1116" t="str">
        <f>IF(OR(N1116&lt;'EDA Analysis'!$E$6,N1116&gt;'EDA Analysis'!$E$7),"OUTLIER","Normal")</f>
        <v>Normal</v>
      </c>
    </row>
    <row r="1117" spans="1:16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  <c r="O1117" t="str">
        <f>IF(OR(F1117&lt;'EDA Analysis'!$B$22,F1117&gt;'EDA Analysis'!$B$23),"OUTLIER","Normal")</f>
        <v>Normal</v>
      </c>
      <c r="P1117" t="str">
        <f>IF(OR(N1117&lt;'EDA Analysis'!$E$6,N1117&gt;'EDA Analysis'!$E$7),"OUTLIER","Normal")</f>
        <v>Normal</v>
      </c>
    </row>
    <row r="1118" spans="1:16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  <c r="O1118" t="str">
        <f>IF(OR(F1118&lt;'EDA Analysis'!$B$22,F1118&gt;'EDA Analysis'!$B$23),"OUTLIER","Normal")</f>
        <v>Normal</v>
      </c>
      <c r="P1118" t="str">
        <f>IF(OR(N1118&lt;'EDA Analysis'!$E$6,N1118&gt;'EDA Analysis'!$E$7),"OUTLIER","Normal")</f>
        <v>Normal</v>
      </c>
    </row>
    <row r="1119" spans="1:16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  <c r="O1119" t="str">
        <f>IF(OR(F1119&lt;'EDA Analysis'!$B$22,F1119&gt;'EDA Analysis'!$B$23),"OUTLIER","Normal")</f>
        <v>Normal</v>
      </c>
      <c r="P1119" t="str">
        <f>IF(OR(N1119&lt;'EDA Analysis'!$E$6,N1119&gt;'EDA Analysis'!$E$7),"OUTLIER","Normal")</f>
        <v>Normal</v>
      </c>
    </row>
    <row r="1120" spans="1:16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  <c r="O1120" t="str">
        <f>IF(OR(F1120&lt;'EDA Analysis'!$B$22,F1120&gt;'EDA Analysis'!$B$23),"OUTLIER","Normal")</f>
        <v>Normal</v>
      </c>
      <c r="P1120" t="str">
        <f>IF(OR(N1120&lt;'EDA Analysis'!$E$6,N1120&gt;'EDA Analysis'!$E$7),"OUTLIER","Normal")</f>
        <v>Normal</v>
      </c>
    </row>
    <row r="1121" spans="1:16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  <c r="O1121" t="str">
        <f>IF(OR(F1121&lt;'EDA Analysis'!$B$22,F1121&gt;'EDA Analysis'!$B$23),"OUTLIER","Normal")</f>
        <v>Normal</v>
      </c>
      <c r="P1121" t="str">
        <f>IF(OR(N1121&lt;'EDA Analysis'!$E$6,N1121&gt;'EDA Analysis'!$E$7),"OUTLIER","Normal")</f>
        <v>Normal</v>
      </c>
    </row>
    <row r="1122" spans="1:16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  <c r="O1122" t="str">
        <f>IF(OR(F1122&lt;'EDA Analysis'!$B$22,F1122&gt;'EDA Analysis'!$B$23),"OUTLIER","Normal")</f>
        <v>Normal</v>
      </c>
      <c r="P1122" t="str">
        <f>IF(OR(N1122&lt;'EDA Analysis'!$E$6,N1122&gt;'EDA Analysis'!$E$7),"OUTLIER","Normal")</f>
        <v>Normal</v>
      </c>
    </row>
    <row r="1123" spans="1:16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  <c r="O1123" t="str">
        <f>IF(OR(F1123&lt;'EDA Analysis'!$B$22,F1123&gt;'EDA Analysis'!$B$23),"OUTLIER","Normal")</f>
        <v>Normal</v>
      </c>
      <c r="P1123" t="str">
        <f>IF(OR(N1123&lt;'EDA Analysis'!$E$6,N1123&gt;'EDA Analysis'!$E$7),"OUTLIER","Normal")</f>
        <v>Normal</v>
      </c>
    </row>
    <row r="1124" spans="1:16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  <c r="O1124" t="str">
        <f>IF(OR(F1124&lt;'EDA Analysis'!$B$22,F1124&gt;'EDA Analysis'!$B$23),"OUTLIER","Normal")</f>
        <v>Normal</v>
      </c>
      <c r="P1124" t="str">
        <f>IF(OR(N1124&lt;'EDA Analysis'!$E$6,N1124&gt;'EDA Analysis'!$E$7),"OUTLIER","Normal")</f>
        <v>OUTLIER</v>
      </c>
    </row>
    <row r="1125" spans="1:16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  <c r="O1125" t="str">
        <f>IF(OR(F1125&lt;'EDA Analysis'!$B$22,F1125&gt;'EDA Analysis'!$B$23),"OUTLIER","Normal")</f>
        <v>Normal</v>
      </c>
      <c r="P1125" t="str">
        <f>IF(OR(N1125&lt;'EDA Analysis'!$E$6,N1125&gt;'EDA Analysis'!$E$7),"OUTLIER","Normal")</f>
        <v>Normal</v>
      </c>
    </row>
    <row r="1126" spans="1:16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  <c r="O1126" t="str">
        <f>IF(OR(F1126&lt;'EDA Analysis'!$B$22,F1126&gt;'EDA Analysis'!$B$23),"OUTLIER","Normal")</f>
        <v>Normal</v>
      </c>
      <c r="P1126" t="str">
        <f>IF(OR(N1126&lt;'EDA Analysis'!$E$6,N1126&gt;'EDA Analysis'!$E$7),"OUTLIER","Normal")</f>
        <v>Normal</v>
      </c>
    </row>
    <row r="1127" spans="1:16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  <c r="O1127" t="str">
        <f>IF(OR(F1127&lt;'EDA Analysis'!$B$22,F1127&gt;'EDA Analysis'!$B$23),"OUTLIER","Normal")</f>
        <v>Normal</v>
      </c>
      <c r="P1127" t="str">
        <f>IF(OR(N1127&lt;'EDA Analysis'!$E$6,N1127&gt;'EDA Analysis'!$E$7),"OUTLIER","Normal")</f>
        <v>Normal</v>
      </c>
    </row>
    <row r="1128" spans="1:16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  <c r="O1128" t="str">
        <f>IF(OR(F1128&lt;'EDA Analysis'!$B$22,F1128&gt;'EDA Analysis'!$B$23),"OUTLIER","Normal")</f>
        <v>Normal</v>
      </c>
      <c r="P1128" t="str">
        <f>IF(OR(N1128&lt;'EDA Analysis'!$E$6,N1128&gt;'EDA Analysis'!$E$7),"OUTLIER","Normal")</f>
        <v>Normal</v>
      </c>
    </row>
    <row r="1129" spans="1:16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  <c r="O1129" t="str">
        <f>IF(OR(F1129&lt;'EDA Analysis'!$B$22,F1129&gt;'EDA Analysis'!$B$23),"OUTLIER","Normal")</f>
        <v>Normal</v>
      </c>
      <c r="P1129" t="str">
        <f>IF(OR(N1129&lt;'EDA Analysis'!$E$6,N1129&gt;'EDA Analysis'!$E$7),"OUTLIER","Normal")</f>
        <v>Normal</v>
      </c>
    </row>
    <row r="1130" spans="1:16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  <c r="O1130" t="str">
        <f>IF(OR(F1130&lt;'EDA Analysis'!$B$22,F1130&gt;'EDA Analysis'!$B$23),"OUTLIER","Normal")</f>
        <v>Normal</v>
      </c>
      <c r="P1130" t="str">
        <f>IF(OR(N1130&lt;'EDA Analysis'!$E$6,N1130&gt;'EDA Analysis'!$E$7),"OUTLIER","Normal")</f>
        <v>Normal</v>
      </c>
    </row>
    <row r="1131" spans="1:16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  <c r="O1131" t="str">
        <f>IF(OR(F1131&lt;'EDA Analysis'!$B$22,F1131&gt;'EDA Analysis'!$B$23),"OUTLIER","Normal")</f>
        <v>Normal</v>
      </c>
      <c r="P1131" t="str">
        <f>IF(OR(N1131&lt;'EDA Analysis'!$E$6,N1131&gt;'EDA Analysis'!$E$7),"OUTLIER","Normal")</f>
        <v>Normal</v>
      </c>
    </row>
    <row r="1132" spans="1:16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  <c r="O1132" t="str">
        <f>IF(OR(F1132&lt;'EDA Analysis'!$B$22,F1132&gt;'EDA Analysis'!$B$23),"OUTLIER","Normal")</f>
        <v>Normal</v>
      </c>
      <c r="P1132" t="str">
        <f>IF(OR(N1132&lt;'EDA Analysis'!$E$6,N1132&gt;'EDA Analysis'!$E$7),"OUTLIER","Normal")</f>
        <v>Normal</v>
      </c>
    </row>
    <row r="1133" spans="1:16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  <c r="O1133" t="str">
        <f>IF(OR(F1133&lt;'EDA Analysis'!$B$22,F1133&gt;'EDA Analysis'!$B$23),"OUTLIER","Normal")</f>
        <v>Normal</v>
      </c>
      <c r="P1133" t="str">
        <f>IF(OR(N1133&lt;'EDA Analysis'!$E$6,N1133&gt;'EDA Analysis'!$E$7),"OUTLIER","Normal")</f>
        <v>Normal</v>
      </c>
    </row>
    <row r="1134" spans="1:16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  <c r="O1134" t="str">
        <f>IF(OR(F1134&lt;'EDA Analysis'!$B$22,F1134&gt;'EDA Analysis'!$B$23),"OUTLIER","Normal")</f>
        <v>Normal</v>
      </c>
      <c r="P1134" t="str">
        <f>IF(OR(N1134&lt;'EDA Analysis'!$E$6,N1134&gt;'EDA Analysis'!$E$7),"OUTLIER","Normal")</f>
        <v>Normal</v>
      </c>
    </row>
    <row r="1135" spans="1:16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  <c r="O1135" t="str">
        <f>IF(OR(F1135&lt;'EDA Analysis'!$B$22,F1135&gt;'EDA Analysis'!$B$23),"OUTLIER","Normal")</f>
        <v>Normal</v>
      </c>
      <c r="P1135" t="str">
        <f>IF(OR(N1135&lt;'EDA Analysis'!$E$6,N1135&gt;'EDA Analysis'!$E$7),"OUTLIER","Normal")</f>
        <v>Normal</v>
      </c>
    </row>
    <row r="1136" spans="1:16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  <c r="O1136" t="str">
        <f>IF(OR(F1136&lt;'EDA Analysis'!$B$22,F1136&gt;'EDA Analysis'!$B$23),"OUTLIER","Normal")</f>
        <v>Normal</v>
      </c>
      <c r="P1136" t="str">
        <f>IF(OR(N1136&lt;'EDA Analysis'!$E$6,N1136&gt;'EDA Analysis'!$E$7),"OUTLIER","Normal")</f>
        <v>Normal</v>
      </c>
    </row>
    <row r="1137" spans="1:16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  <c r="O1137" t="str">
        <f>IF(OR(F1137&lt;'EDA Analysis'!$B$22,F1137&gt;'EDA Analysis'!$B$23),"OUTLIER","Normal")</f>
        <v>Normal</v>
      </c>
      <c r="P1137" t="str">
        <f>IF(OR(N1137&lt;'EDA Analysis'!$E$6,N1137&gt;'EDA Analysis'!$E$7),"OUTLIER","Normal")</f>
        <v>Normal</v>
      </c>
    </row>
    <row r="1138" spans="1:16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  <c r="O1138" t="str">
        <f>IF(OR(F1138&lt;'EDA Analysis'!$B$22,F1138&gt;'EDA Analysis'!$B$23),"OUTLIER","Normal")</f>
        <v>Normal</v>
      </c>
      <c r="P1138" t="str">
        <f>IF(OR(N1138&lt;'EDA Analysis'!$E$6,N1138&gt;'EDA Analysis'!$E$7),"OUTLIER","Normal")</f>
        <v>Normal</v>
      </c>
    </row>
    <row r="1139" spans="1:16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  <c r="O1139" t="str">
        <f>IF(OR(F1139&lt;'EDA Analysis'!$B$22,F1139&gt;'EDA Analysis'!$B$23),"OUTLIER","Normal")</f>
        <v>Normal</v>
      </c>
      <c r="P1139" t="str">
        <f>IF(OR(N1139&lt;'EDA Analysis'!$E$6,N1139&gt;'EDA Analysis'!$E$7),"OUTLIER","Normal")</f>
        <v>Normal</v>
      </c>
    </row>
    <row r="1140" spans="1:16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  <c r="O1140" t="str">
        <f>IF(OR(F1140&lt;'EDA Analysis'!$B$22,F1140&gt;'EDA Analysis'!$B$23),"OUTLIER","Normal")</f>
        <v>Normal</v>
      </c>
      <c r="P1140" t="str">
        <f>IF(OR(N1140&lt;'EDA Analysis'!$E$6,N1140&gt;'EDA Analysis'!$E$7),"OUTLIER","Normal")</f>
        <v>Normal</v>
      </c>
    </row>
    <row r="1141" spans="1:16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  <c r="O1141" t="str">
        <f>IF(OR(F1141&lt;'EDA Analysis'!$B$22,F1141&gt;'EDA Analysis'!$B$23),"OUTLIER","Normal")</f>
        <v>Normal</v>
      </c>
      <c r="P1141" t="str">
        <f>IF(OR(N1141&lt;'EDA Analysis'!$E$6,N1141&gt;'EDA Analysis'!$E$7),"OUTLIER","Normal")</f>
        <v>Normal</v>
      </c>
    </row>
    <row r="1142" spans="1:16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  <c r="O1142" t="str">
        <f>IF(OR(F1142&lt;'EDA Analysis'!$B$22,F1142&gt;'EDA Analysis'!$B$23),"OUTLIER","Normal")</f>
        <v>Normal</v>
      </c>
      <c r="P1142" t="str">
        <f>IF(OR(N1142&lt;'EDA Analysis'!$E$6,N1142&gt;'EDA Analysis'!$E$7),"OUTLIER","Normal")</f>
        <v>Normal</v>
      </c>
    </row>
    <row r="1143" spans="1:16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  <c r="O1143" t="str">
        <f>IF(OR(F1143&lt;'EDA Analysis'!$B$22,F1143&gt;'EDA Analysis'!$B$23),"OUTLIER","Normal")</f>
        <v>Normal</v>
      </c>
      <c r="P1143" t="str">
        <f>IF(OR(N1143&lt;'EDA Analysis'!$E$6,N1143&gt;'EDA Analysis'!$E$7),"OUTLIER","Normal")</f>
        <v>Normal</v>
      </c>
    </row>
    <row r="1144" spans="1:16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  <c r="O1144" t="str">
        <f>IF(OR(F1144&lt;'EDA Analysis'!$B$22,F1144&gt;'EDA Analysis'!$B$23),"OUTLIER","Normal")</f>
        <v>Normal</v>
      </c>
      <c r="P1144" t="str">
        <f>IF(OR(N1144&lt;'EDA Analysis'!$E$6,N1144&gt;'EDA Analysis'!$E$7),"OUTLIER","Normal")</f>
        <v>Normal</v>
      </c>
    </row>
    <row r="1145" spans="1:16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  <c r="O1145" t="str">
        <f>IF(OR(F1145&lt;'EDA Analysis'!$B$22,F1145&gt;'EDA Analysis'!$B$23),"OUTLIER","Normal")</f>
        <v>Normal</v>
      </c>
      <c r="P1145" t="str">
        <f>IF(OR(N1145&lt;'EDA Analysis'!$E$6,N1145&gt;'EDA Analysis'!$E$7),"OUTLIER","Normal")</f>
        <v>Normal</v>
      </c>
    </row>
    <row r="1146" spans="1:16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  <c r="O1146" t="str">
        <f>IF(OR(F1146&lt;'EDA Analysis'!$B$22,F1146&gt;'EDA Analysis'!$B$23),"OUTLIER","Normal")</f>
        <v>Normal</v>
      </c>
      <c r="P1146" t="str">
        <f>IF(OR(N1146&lt;'EDA Analysis'!$E$6,N1146&gt;'EDA Analysis'!$E$7),"OUTLIER","Normal")</f>
        <v>Normal</v>
      </c>
    </row>
    <row r="1147" spans="1:16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  <c r="O1147" t="str">
        <f>IF(OR(F1147&lt;'EDA Analysis'!$B$22,F1147&gt;'EDA Analysis'!$B$23),"OUTLIER","Normal")</f>
        <v>Normal</v>
      </c>
      <c r="P1147" t="str">
        <f>IF(OR(N1147&lt;'EDA Analysis'!$E$6,N1147&gt;'EDA Analysis'!$E$7),"OUTLIER","Normal")</f>
        <v>Normal</v>
      </c>
    </row>
    <row r="1148" spans="1:16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  <c r="O1148" t="str">
        <f>IF(OR(F1148&lt;'EDA Analysis'!$B$22,F1148&gt;'EDA Analysis'!$B$23),"OUTLIER","Normal")</f>
        <v>Normal</v>
      </c>
      <c r="P1148" t="str">
        <f>IF(OR(N1148&lt;'EDA Analysis'!$E$6,N1148&gt;'EDA Analysis'!$E$7),"OUTLIER","Normal")</f>
        <v>Normal</v>
      </c>
    </row>
    <row r="1149" spans="1:16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  <c r="O1149" t="str">
        <f>IF(OR(F1149&lt;'EDA Analysis'!$B$22,F1149&gt;'EDA Analysis'!$B$23),"OUTLIER","Normal")</f>
        <v>Normal</v>
      </c>
      <c r="P1149" t="str">
        <f>IF(OR(N1149&lt;'EDA Analysis'!$E$6,N1149&gt;'EDA Analysis'!$E$7),"OUTLIER","Normal")</f>
        <v>Normal</v>
      </c>
    </row>
    <row r="1150" spans="1:16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  <c r="O1150" t="str">
        <f>IF(OR(F1150&lt;'EDA Analysis'!$B$22,F1150&gt;'EDA Analysis'!$B$23),"OUTLIER","Normal")</f>
        <v>Normal</v>
      </c>
      <c r="P1150" t="str">
        <f>IF(OR(N1150&lt;'EDA Analysis'!$E$6,N1150&gt;'EDA Analysis'!$E$7),"OUTLIER","Normal")</f>
        <v>Normal</v>
      </c>
    </row>
    <row r="1151" spans="1:16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  <c r="O1151" t="str">
        <f>IF(OR(F1151&lt;'EDA Analysis'!$B$22,F1151&gt;'EDA Analysis'!$B$23),"OUTLIER","Normal")</f>
        <v>Normal</v>
      </c>
      <c r="P1151" t="str">
        <f>IF(OR(N1151&lt;'EDA Analysis'!$E$6,N1151&gt;'EDA Analysis'!$E$7),"OUTLIER","Normal")</f>
        <v>Normal</v>
      </c>
    </row>
    <row r="1152" spans="1:16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  <c r="O1152" t="str">
        <f>IF(OR(F1152&lt;'EDA Analysis'!$B$22,F1152&gt;'EDA Analysis'!$B$23),"OUTLIER","Normal")</f>
        <v>Normal</v>
      </c>
      <c r="P1152" t="str">
        <f>IF(OR(N1152&lt;'EDA Analysis'!$E$6,N1152&gt;'EDA Analysis'!$E$7),"OUTLIER","Normal")</f>
        <v>Normal</v>
      </c>
    </row>
    <row r="1153" spans="1:16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  <c r="O1153" t="str">
        <f>IF(OR(F1153&lt;'EDA Analysis'!$B$22,F1153&gt;'EDA Analysis'!$B$23),"OUTLIER","Normal")</f>
        <v>Normal</v>
      </c>
      <c r="P1153" t="str">
        <f>IF(OR(N1153&lt;'EDA Analysis'!$E$6,N1153&gt;'EDA Analysis'!$E$7),"OUTLIER","Normal")</f>
        <v>Normal</v>
      </c>
    </row>
    <row r="1154" spans="1:16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  <c r="O1154" t="str">
        <f>IF(OR(F1154&lt;'EDA Analysis'!$B$22,F1154&gt;'EDA Analysis'!$B$23),"OUTLIER","Normal")</f>
        <v>Normal</v>
      </c>
      <c r="P1154" t="str">
        <f>IF(OR(N1154&lt;'EDA Analysis'!$E$6,N1154&gt;'EDA Analysis'!$E$7),"OUTLIER","Normal")</f>
        <v>Normal</v>
      </c>
    </row>
    <row r="1155" spans="1:16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  <c r="O1155" t="str">
        <f>IF(OR(F1155&lt;'EDA Analysis'!$B$22,F1155&gt;'EDA Analysis'!$B$23),"OUTLIER","Normal")</f>
        <v>Normal</v>
      </c>
      <c r="P1155" t="str">
        <f>IF(OR(N1155&lt;'EDA Analysis'!$E$6,N1155&gt;'EDA Analysis'!$E$7),"OUTLIER","Normal")</f>
        <v>Normal</v>
      </c>
    </row>
    <row r="1156" spans="1:16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  <c r="O1156" t="str">
        <f>IF(OR(F1156&lt;'EDA Analysis'!$B$22,F1156&gt;'EDA Analysis'!$B$23),"OUTLIER","Normal")</f>
        <v>Normal</v>
      </c>
      <c r="P1156" t="str">
        <f>IF(OR(N1156&lt;'EDA Analysis'!$E$6,N1156&gt;'EDA Analysis'!$E$7),"OUTLIER","Normal")</f>
        <v>Normal</v>
      </c>
    </row>
    <row r="1157" spans="1:16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  <c r="O1157" t="str">
        <f>IF(OR(F1157&lt;'EDA Analysis'!$B$22,F1157&gt;'EDA Analysis'!$B$23),"OUTLIER","Normal")</f>
        <v>Normal</v>
      </c>
      <c r="P1157" t="str">
        <f>IF(OR(N1157&lt;'EDA Analysis'!$E$6,N1157&gt;'EDA Analysis'!$E$7),"OUTLIER","Normal")</f>
        <v>Normal</v>
      </c>
    </row>
    <row r="1158" spans="1:16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  <c r="O1158" t="str">
        <f>IF(OR(F1158&lt;'EDA Analysis'!$B$22,F1158&gt;'EDA Analysis'!$B$23),"OUTLIER","Normal")</f>
        <v>Normal</v>
      </c>
      <c r="P1158" t="str">
        <f>IF(OR(N1158&lt;'EDA Analysis'!$E$6,N1158&gt;'EDA Analysis'!$E$7),"OUTLIER","Normal")</f>
        <v>Normal</v>
      </c>
    </row>
    <row r="1159" spans="1:16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  <c r="O1159" t="str">
        <f>IF(OR(F1159&lt;'EDA Analysis'!$B$22,F1159&gt;'EDA Analysis'!$B$23),"OUTLIER","Normal")</f>
        <v>Normal</v>
      </c>
      <c r="P1159" t="str">
        <f>IF(OR(N1159&lt;'EDA Analysis'!$E$6,N1159&gt;'EDA Analysis'!$E$7),"OUTLIER","Normal")</f>
        <v>Normal</v>
      </c>
    </row>
    <row r="1160" spans="1:16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  <c r="O1160" t="str">
        <f>IF(OR(F1160&lt;'EDA Analysis'!$B$22,F1160&gt;'EDA Analysis'!$B$23),"OUTLIER","Normal")</f>
        <v>Normal</v>
      </c>
      <c r="P1160" t="str">
        <f>IF(OR(N1160&lt;'EDA Analysis'!$E$6,N1160&gt;'EDA Analysis'!$E$7),"OUTLIER","Normal")</f>
        <v>Normal</v>
      </c>
    </row>
    <row r="1161" spans="1:16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  <c r="O1161" t="str">
        <f>IF(OR(F1161&lt;'EDA Analysis'!$B$22,F1161&gt;'EDA Analysis'!$B$23),"OUTLIER","Normal")</f>
        <v>Normal</v>
      </c>
      <c r="P1161" t="str">
        <f>IF(OR(N1161&lt;'EDA Analysis'!$E$6,N1161&gt;'EDA Analysis'!$E$7),"OUTLIER","Normal")</f>
        <v>Normal</v>
      </c>
    </row>
    <row r="1162" spans="1:16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  <c r="O1162" t="str">
        <f>IF(OR(F1162&lt;'EDA Analysis'!$B$22,F1162&gt;'EDA Analysis'!$B$23),"OUTLIER","Normal")</f>
        <v>Normal</v>
      </c>
      <c r="P1162" t="str">
        <f>IF(OR(N1162&lt;'EDA Analysis'!$E$6,N1162&gt;'EDA Analysis'!$E$7),"OUTLIER","Normal")</f>
        <v>Normal</v>
      </c>
    </row>
    <row r="1163" spans="1:16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  <c r="O1163" t="str">
        <f>IF(OR(F1163&lt;'EDA Analysis'!$B$22,F1163&gt;'EDA Analysis'!$B$23),"OUTLIER","Normal")</f>
        <v>Normal</v>
      </c>
      <c r="P1163" t="str">
        <f>IF(OR(N1163&lt;'EDA Analysis'!$E$6,N1163&gt;'EDA Analysis'!$E$7),"OUTLIER","Normal")</f>
        <v>Normal</v>
      </c>
    </row>
    <row r="1164" spans="1:16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  <c r="O1164" t="str">
        <f>IF(OR(F1164&lt;'EDA Analysis'!$B$22,F1164&gt;'EDA Analysis'!$B$23),"OUTLIER","Normal")</f>
        <v>Normal</v>
      </c>
      <c r="P1164" t="str">
        <f>IF(OR(N1164&lt;'EDA Analysis'!$E$6,N1164&gt;'EDA Analysis'!$E$7),"OUTLIER","Normal")</f>
        <v>Normal</v>
      </c>
    </row>
    <row r="1165" spans="1:16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  <c r="O1165" t="str">
        <f>IF(OR(F1165&lt;'EDA Analysis'!$B$22,F1165&gt;'EDA Analysis'!$B$23),"OUTLIER","Normal")</f>
        <v>Normal</v>
      </c>
      <c r="P1165" t="str">
        <f>IF(OR(N1165&lt;'EDA Analysis'!$E$6,N1165&gt;'EDA Analysis'!$E$7),"OUTLIER","Normal")</f>
        <v>Normal</v>
      </c>
    </row>
    <row r="1166" spans="1:16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  <c r="O1166" t="str">
        <f>IF(OR(F1166&lt;'EDA Analysis'!$B$22,F1166&gt;'EDA Analysis'!$B$23),"OUTLIER","Normal")</f>
        <v>Normal</v>
      </c>
      <c r="P1166" t="str">
        <f>IF(OR(N1166&lt;'EDA Analysis'!$E$6,N1166&gt;'EDA Analysis'!$E$7),"OUTLIER","Normal")</f>
        <v>Normal</v>
      </c>
    </row>
    <row r="1167" spans="1:16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  <c r="O1167" t="str">
        <f>IF(OR(F1167&lt;'EDA Analysis'!$B$22,F1167&gt;'EDA Analysis'!$B$23),"OUTLIER","Normal")</f>
        <v>Normal</v>
      </c>
      <c r="P1167" t="str">
        <f>IF(OR(N1167&lt;'EDA Analysis'!$E$6,N1167&gt;'EDA Analysis'!$E$7),"OUTLIER","Normal")</f>
        <v>Normal</v>
      </c>
    </row>
    <row r="1168" spans="1:16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  <c r="O1168" t="str">
        <f>IF(OR(F1168&lt;'EDA Analysis'!$B$22,F1168&gt;'EDA Analysis'!$B$23),"OUTLIER","Normal")</f>
        <v>Normal</v>
      </c>
      <c r="P1168" t="str">
        <f>IF(OR(N1168&lt;'EDA Analysis'!$E$6,N1168&gt;'EDA Analysis'!$E$7),"OUTLIER","Normal")</f>
        <v>Normal</v>
      </c>
    </row>
    <row r="1169" spans="1:16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  <c r="O1169" t="str">
        <f>IF(OR(F1169&lt;'EDA Analysis'!$B$22,F1169&gt;'EDA Analysis'!$B$23),"OUTLIER","Normal")</f>
        <v>Normal</v>
      </c>
      <c r="P1169" t="str">
        <f>IF(OR(N1169&lt;'EDA Analysis'!$E$6,N1169&gt;'EDA Analysis'!$E$7),"OUTLIER","Normal")</f>
        <v>Normal</v>
      </c>
    </row>
    <row r="1170" spans="1:16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  <c r="O1170" t="str">
        <f>IF(OR(F1170&lt;'EDA Analysis'!$B$22,F1170&gt;'EDA Analysis'!$B$23),"OUTLIER","Normal")</f>
        <v>Normal</v>
      </c>
      <c r="P1170" t="str">
        <f>IF(OR(N1170&lt;'EDA Analysis'!$E$6,N1170&gt;'EDA Analysis'!$E$7),"OUTLIER","Normal")</f>
        <v>Normal</v>
      </c>
    </row>
    <row r="1171" spans="1:16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  <c r="O1171" t="str">
        <f>IF(OR(F1171&lt;'EDA Analysis'!$B$22,F1171&gt;'EDA Analysis'!$B$23),"OUTLIER","Normal")</f>
        <v>Normal</v>
      </c>
      <c r="P1171" t="str">
        <f>IF(OR(N1171&lt;'EDA Analysis'!$E$6,N1171&gt;'EDA Analysis'!$E$7),"OUTLIER","Normal")</f>
        <v>Normal</v>
      </c>
    </row>
    <row r="1172" spans="1:16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  <c r="O1172" t="str">
        <f>IF(OR(F1172&lt;'EDA Analysis'!$B$22,F1172&gt;'EDA Analysis'!$B$23),"OUTLIER","Normal")</f>
        <v>Normal</v>
      </c>
      <c r="P1172" t="str">
        <f>IF(OR(N1172&lt;'EDA Analysis'!$E$6,N1172&gt;'EDA Analysis'!$E$7),"OUTLIER","Normal")</f>
        <v>Normal</v>
      </c>
    </row>
    <row r="1173" spans="1:16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  <c r="O1173" t="str">
        <f>IF(OR(F1173&lt;'EDA Analysis'!$B$22,F1173&gt;'EDA Analysis'!$B$23),"OUTLIER","Normal")</f>
        <v>Normal</v>
      </c>
      <c r="P1173" t="str">
        <f>IF(OR(N1173&lt;'EDA Analysis'!$E$6,N1173&gt;'EDA Analysis'!$E$7),"OUTLIER","Normal")</f>
        <v>Normal</v>
      </c>
    </row>
    <row r="1174" spans="1:16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  <c r="O1174" t="str">
        <f>IF(OR(F1174&lt;'EDA Analysis'!$B$22,F1174&gt;'EDA Analysis'!$B$23),"OUTLIER","Normal")</f>
        <v>Normal</v>
      </c>
      <c r="P1174" t="str">
        <f>IF(OR(N1174&lt;'EDA Analysis'!$E$6,N1174&gt;'EDA Analysis'!$E$7),"OUTLIER","Normal")</f>
        <v>Normal</v>
      </c>
    </row>
    <row r="1175" spans="1:16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  <c r="O1175" t="str">
        <f>IF(OR(F1175&lt;'EDA Analysis'!$B$22,F1175&gt;'EDA Analysis'!$B$23),"OUTLIER","Normal")</f>
        <v>Normal</v>
      </c>
      <c r="P1175" t="str">
        <f>IF(OR(N1175&lt;'EDA Analysis'!$E$6,N1175&gt;'EDA Analysis'!$E$7),"OUTLIER","Normal")</f>
        <v>Normal</v>
      </c>
    </row>
    <row r="1176" spans="1:16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  <c r="O1176" t="str">
        <f>IF(OR(F1176&lt;'EDA Analysis'!$B$22,F1176&gt;'EDA Analysis'!$B$23),"OUTLIER","Normal")</f>
        <v>Normal</v>
      </c>
      <c r="P1176" t="str">
        <f>IF(OR(N1176&lt;'EDA Analysis'!$E$6,N1176&gt;'EDA Analysis'!$E$7),"OUTLIER","Normal")</f>
        <v>Normal</v>
      </c>
    </row>
    <row r="1177" spans="1:16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  <c r="O1177" t="str">
        <f>IF(OR(F1177&lt;'EDA Analysis'!$B$22,F1177&gt;'EDA Analysis'!$B$23),"OUTLIER","Normal")</f>
        <v>Normal</v>
      </c>
      <c r="P1177" t="str">
        <f>IF(OR(N1177&lt;'EDA Analysis'!$E$6,N1177&gt;'EDA Analysis'!$E$7),"OUTLIER","Normal")</f>
        <v>Normal</v>
      </c>
    </row>
    <row r="1178" spans="1:16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  <c r="O1178" t="str">
        <f>IF(OR(F1178&lt;'EDA Analysis'!$B$22,F1178&gt;'EDA Analysis'!$B$23),"OUTLIER","Normal")</f>
        <v>Normal</v>
      </c>
      <c r="P1178" t="str">
        <f>IF(OR(N1178&lt;'EDA Analysis'!$E$6,N1178&gt;'EDA Analysis'!$E$7),"OUTLIER","Normal")</f>
        <v>Normal</v>
      </c>
    </row>
    <row r="1179" spans="1:16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  <c r="O1179" t="str">
        <f>IF(OR(F1179&lt;'EDA Analysis'!$B$22,F1179&gt;'EDA Analysis'!$B$23),"OUTLIER","Normal")</f>
        <v>Normal</v>
      </c>
      <c r="P1179" t="str">
        <f>IF(OR(N1179&lt;'EDA Analysis'!$E$6,N1179&gt;'EDA Analysis'!$E$7),"OUTLIER","Normal")</f>
        <v>Normal</v>
      </c>
    </row>
    <row r="1180" spans="1:16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  <c r="O1180" t="str">
        <f>IF(OR(F1180&lt;'EDA Analysis'!$B$22,F1180&gt;'EDA Analysis'!$B$23),"OUTLIER","Normal")</f>
        <v>Normal</v>
      </c>
      <c r="P1180" t="str">
        <f>IF(OR(N1180&lt;'EDA Analysis'!$E$6,N1180&gt;'EDA Analysis'!$E$7),"OUTLIER","Normal")</f>
        <v>Normal</v>
      </c>
    </row>
    <row r="1181" spans="1:16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  <c r="O1181" t="str">
        <f>IF(OR(F1181&lt;'EDA Analysis'!$B$22,F1181&gt;'EDA Analysis'!$B$23),"OUTLIER","Normal")</f>
        <v>Normal</v>
      </c>
      <c r="P1181" t="str">
        <f>IF(OR(N1181&lt;'EDA Analysis'!$E$6,N1181&gt;'EDA Analysis'!$E$7),"OUTLIER","Normal")</f>
        <v>Normal</v>
      </c>
    </row>
    <row r="1182" spans="1:16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  <c r="O1182" t="str">
        <f>IF(OR(F1182&lt;'EDA Analysis'!$B$22,F1182&gt;'EDA Analysis'!$B$23),"OUTLIER","Normal")</f>
        <v>Normal</v>
      </c>
      <c r="P1182" t="str">
        <f>IF(OR(N1182&lt;'EDA Analysis'!$E$6,N1182&gt;'EDA Analysis'!$E$7),"OUTLIER","Normal")</f>
        <v>Normal</v>
      </c>
    </row>
    <row r="1183" spans="1:16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  <c r="O1183" t="str">
        <f>IF(OR(F1183&lt;'EDA Analysis'!$B$22,F1183&gt;'EDA Analysis'!$B$23),"OUTLIER","Normal")</f>
        <v>Normal</v>
      </c>
      <c r="P1183" t="str">
        <f>IF(OR(N1183&lt;'EDA Analysis'!$E$6,N1183&gt;'EDA Analysis'!$E$7),"OUTLIER","Normal")</f>
        <v>Normal</v>
      </c>
    </row>
    <row r="1184" spans="1:16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  <c r="O1184" t="str">
        <f>IF(OR(F1184&lt;'EDA Analysis'!$B$22,F1184&gt;'EDA Analysis'!$B$23),"OUTLIER","Normal")</f>
        <v>Normal</v>
      </c>
      <c r="P1184" t="str">
        <f>IF(OR(N1184&lt;'EDA Analysis'!$E$6,N1184&gt;'EDA Analysis'!$E$7),"OUTLIER","Normal")</f>
        <v>Normal</v>
      </c>
    </row>
    <row r="1185" spans="1:16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  <c r="O1185" t="str">
        <f>IF(OR(F1185&lt;'EDA Analysis'!$B$22,F1185&gt;'EDA Analysis'!$B$23),"OUTLIER","Normal")</f>
        <v>Normal</v>
      </c>
      <c r="P1185" t="str">
        <f>IF(OR(N1185&lt;'EDA Analysis'!$E$6,N1185&gt;'EDA Analysis'!$E$7),"OUTLIER","Normal")</f>
        <v>Normal</v>
      </c>
    </row>
    <row r="1186" spans="1:16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  <c r="O1186" t="str">
        <f>IF(OR(F1186&lt;'EDA Analysis'!$B$22,F1186&gt;'EDA Analysis'!$B$23),"OUTLIER","Normal")</f>
        <v>Normal</v>
      </c>
      <c r="P1186" t="str">
        <f>IF(OR(N1186&lt;'EDA Analysis'!$E$6,N1186&gt;'EDA Analysis'!$E$7),"OUTLIER","Normal")</f>
        <v>Normal</v>
      </c>
    </row>
    <row r="1187" spans="1:16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  <c r="O1187" t="str">
        <f>IF(OR(F1187&lt;'EDA Analysis'!$B$22,F1187&gt;'EDA Analysis'!$B$23),"OUTLIER","Normal")</f>
        <v>Normal</v>
      </c>
      <c r="P1187" t="str">
        <f>IF(OR(N1187&lt;'EDA Analysis'!$E$6,N1187&gt;'EDA Analysis'!$E$7),"OUTLIER","Normal")</f>
        <v>Normal</v>
      </c>
    </row>
    <row r="1188" spans="1:16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  <c r="O1188" t="str">
        <f>IF(OR(F1188&lt;'EDA Analysis'!$B$22,F1188&gt;'EDA Analysis'!$B$23),"OUTLIER","Normal")</f>
        <v>Normal</v>
      </c>
      <c r="P1188" t="str">
        <f>IF(OR(N1188&lt;'EDA Analysis'!$E$6,N1188&gt;'EDA Analysis'!$E$7),"OUTLIER","Normal")</f>
        <v>Normal</v>
      </c>
    </row>
    <row r="1189" spans="1:16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  <c r="O1189" t="str">
        <f>IF(OR(F1189&lt;'EDA Analysis'!$B$22,F1189&gt;'EDA Analysis'!$B$23),"OUTLIER","Normal")</f>
        <v>Normal</v>
      </c>
      <c r="P1189" t="str">
        <f>IF(OR(N1189&lt;'EDA Analysis'!$E$6,N1189&gt;'EDA Analysis'!$E$7),"OUTLIER","Normal")</f>
        <v>Normal</v>
      </c>
    </row>
    <row r="1190" spans="1:16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  <c r="O1190" t="str">
        <f>IF(OR(F1190&lt;'EDA Analysis'!$B$22,F1190&gt;'EDA Analysis'!$B$23),"OUTLIER","Normal")</f>
        <v>Normal</v>
      </c>
      <c r="P1190" t="str">
        <f>IF(OR(N1190&lt;'EDA Analysis'!$E$6,N1190&gt;'EDA Analysis'!$E$7),"OUTLIER","Normal")</f>
        <v>Normal</v>
      </c>
    </row>
    <row r="1191" spans="1:16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  <c r="O1191" t="str">
        <f>IF(OR(F1191&lt;'EDA Analysis'!$B$22,F1191&gt;'EDA Analysis'!$B$23),"OUTLIER","Normal")</f>
        <v>Normal</v>
      </c>
      <c r="P1191" t="str">
        <f>IF(OR(N1191&lt;'EDA Analysis'!$E$6,N1191&gt;'EDA Analysis'!$E$7),"OUTLIER","Normal")</f>
        <v>Normal</v>
      </c>
    </row>
    <row r="1192" spans="1:16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  <c r="O1192" t="str">
        <f>IF(OR(F1192&lt;'EDA Analysis'!$B$22,F1192&gt;'EDA Analysis'!$B$23),"OUTLIER","Normal")</f>
        <v>Normal</v>
      </c>
      <c r="P1192" t="str">
        <f>IF(OR(N1192&lt;'EDA Analysis'!$E$6,N1192&gt;'EDA Analysis'!$E$7),"OUTLIER","Normal")</f>
        <v>Normal</v>
      </c>
    </row>
    <row r="1193" spans="1:16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  <c r="O1193" t="str">
        <f>IF(OR(F1193&lt;'EDA Analysis'!$B$22,F1193&gt;'EDA Analysis'!$B$23),"OUTLIER","Normal")</f>
        <v>Normal</v>
      </c>
      <c r="P1193" t="str">
        <f>IF(OR(N1193&lt;'EDA Analysis'!$E$6,N1193&gt;'EDA Analysis'!$E$7),"OUTLIER","Normal")</f>
        <v>Normal</v>
      </c>
    </row>
    <row r="1194" spans="1:16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  <c r="O1194" t="str">
        <f>IF(OR(F1194&lt;'EDA Analysis'!$B$22,F1194&gt;'EDA Analysis'!$B$23),"OUTLIER","Normal")</f>
        <v>Normal</v>
      </c>
      <c r="P1194" t="str">
        <f>IF(OR(N1194&lt;'EDA Analysis'!$E$6,N1194&gt;'EDA Analysis'!$E$7),"OUTLIER","Normal")</f>
        <v>Normal</v>
      </c>
    </row>
    <row r="1195" spans="1:16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  <c r="O1195" t="str">
        <f>IF(OR(F1195&lt;'EDA Analysis'!$B$22,F1195&gt;'EDA Analysis'!$B$23),"OUTLIER","Normal")</f>
        <v>Normal</v>
      </c>
      <c r="P1195" t="str">
        <f>IF(OR(N1195&lt;'EDA Analysis'!$E$6,N1195&gt;'EDA Analysis'!$E$7),"OUTLIER","Normal")</f>
        <v>Normal</v>
      </c>
    </row>
    <row r="1196" spans="1:16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  <c r="O1196" t="str">
        <f>IF(OR(F1196&lt;'EDA Analysis'!$B$22,F1196&gt;'EDA Analysis'!$B$23),"OUTLIER","Normal")</f>
        <v>Normal</v>
      </c>
      <c r="P1196" t="str">
        <f>IF(OR(N1196&lt;'EDA Analysis'!$E$6,N1196&gt;'EDA Analysis'!$E$7),"OUTLIER","Normal")</f>
        <v>Normal</v>
      </c>
    </row>
    <row r="1197" spans="1:16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  <c r="O1197" t="str">
        <f>IF(OR(F1197&lt;'EDA Analysis'!$B$22,F1197&gt;'EDA Analysis'!$B$23),"OUTLIER","Normal")</f>
        <v>Normal</v>
      </c>
      <c r="P1197" t="str">
        <f>IF(OR(N1197&lt;'EDA Analysis'!$E$6,N1197&gt;'EDA Analysis'!$E$7),"OUTLIER","Normal")</f>
        <v>Normal</v>
      </c>
    </row>
    <row r="1198" spans="1:16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  <c r="O1198" t="str">
        <f>IF(OR(F1198&lt;'EDA Analysis'!$B$22,F1198&gt;'EDA Analysis'!$B$23),"OUTLIER","Normal")</f>
        <v>Normal</v>
      </c>
      <c r="P1198" t="str">
        <f>IF(OR(N1198&lt;'EDA Analysis'!$E$6,N1198&gt;'EDA Analysis'!$E$7),"OUTLIER","Normal")</f>
        <v>Normal</v>
      </c>
    </row>
    <row r="1199" spans="1:16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  <c r="O1199" t="str">
        <f>IF(OR(F1199&lt;'EDA Analysis'!$B$22,F1199&gt;'EDA Analysis'!$B$23),"OUTLIER","Normal")</f>
        <v>Normal</v>
      </c>
      <c r="P1199" t="str">
        <f>IF(OR(N1199&lt;'EDA Analysis'!$E$6,N1199&gt;'EDA Analysis'!$E$7),"OUTLIER","Normal")</f>
        <v>Normal</v>
      </c>
    </row>
    <row r="1200" spans="1:16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  <c r="O1200" t="str">
        <f>IF(OR(F1200&lt;'EDA Analysis'!$B$22,F1200&gt;'EDA Analysis'!$B$23),"OUTLIER","Normal")</f>
        <v>Normal</v>
      </c>
      <c r="P1200" t="str">
        <f>IF(OR(N1200&lt;'EDA Analysis'!$E$6,N1200&gt;'EDA Analysis'!$E$7),"OUTLIER","Normal")</f>
        <v>Normal</v>
      </c>
    </row>
    <row r="1201" spans="1:16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  <c r="O1201" t="str">
        <f>IF(OR(F1201&lt;'EDA Analysis'!$B$22,F1201&gt;'EDA Analysis'!$B$23),"OUTLIER","Normal")</f>
        <v>Normal</v>
      </c>
      <c r="P1201" t="str">
        <f>IF(OR(N1201&lt;'EDA Analysis'!$E$6,N1201&gt;'EDA Analysis'!$E$7),"OUTLIER","Normal")</f>
        <v>Normal</v>
      </c>
    </row>
  </sheetData>
  <autoFilter ref="A1:N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5"/>
  <sheetViews>
    <sheetView tabSelected="1" workbookViewId="0">
      <selection activeCell="L8" sqref="L8:O12"/>
    </sheetView>
  </sheetViews>
  <sheetFormatPr defaultRowHeight="15" x14ac:dyDescent="0.25"/>
  <cols>
    <col min="1" max="1" width="21.7109375" customWidth="1"/>
    <col min="3" max="3" width="27.28515625" customWidth="1"/>
    <col min="4" max="4" width="21.42578125" customWidth="1"/>
    <col min="5" max="5" width="13.140625" customWidth="1"/>
    <col min="6" max="6" width="15.42578125" customWidth="1"/>
    <col min="8" max="8" width="13.140625" customWidth="1"/>
    <col min="9" max="9" width="16.140625" customWidth="1"/>
    <col min="11" max="11" width="12.85546875" customWidth="1"/>
    <col min="12" max="12" width="13.5703125" customWidth="1"/>
    <col min="14" max="14" width="13.140625" bestFit="1" customWidth="1"/>
    <col min="15" max="15" width="15.28515625" customWidth="1"/>
  </cols>
  <sheetData>
    <row r="2" spans="1:15" ht="15" customHeight="1" x14ac:dyDescent="0.25">
      <c r="A2" s="6" t="s">
        <v>4284</v>
      </c>
      <c r="B2" s="5">
        <f>AVERAGE('Cleaned Data'!F2:F1201)</f>
        <v>356.41275000000007</v>
      </c>
      <c r="C2" s="6" t="s">
        <v>4323</v>
      </c>
      <c r="D2" s="13" t="s">
        <v>4325</v>
      </c>
      <c r="E2" s="13"/>
      <c r="F2" s="15" t="s">
        <v>4332</v>
      </c>
      <c r="G2" s="16" t="s">
        <v>4333</v>
      </c>
      <c r="H2" s="17"/>
      <c r="I2" s="17"/>
      <c r="J2" s="18"/>
      <c r="L2" s="52" t="s">
        <v>4336</v>
      </c>
      <c r="M2" s="53"/>
      <c r="N2" s="53"/>
      <c r="O2" s="53"/>
    </row>
    <row r="3" spans="1:15" ht="15" customHeight="1" x14ac:dyDescent="0.25">
      <c r="A3" s="6" t="s">
        <v>4285</v>
      </c>
      <c r="B3" s="5">
        <f>MEDIAN('Cleaned Data'!F2:F1201)</f>
        <v>364.21</v>
      </c>
      <c r="D3" s="6" t="s">
        <v>4326</v>
      </c>
      <c r="E3">
        <f>QUARTILE('Cleaned Data'!N2:N1201,1)</f>
        <v>410.52</v>
      </c>
      <c r="G3" s="19"/>
      <c r="H3" s="20"/>
      <c r="I3" s="20"/>
      <c r="J3" s="21"/>
      <c r="L3" s="53"/>
      <c r="M3" s="53"/>
      <c r="N3" s="53"/>
      <c r="O3" s="53"/>
    </row>
    <row r="4" spans="1:15" ht="15" customHeight="1" x14ac:dyDescent="0.25">
      <c r="A4" s="6" t="s">
        <v>4286</v>
      </c>
      <c r="B4">
        <f>COUNT('Cleaned Data'!F2:F1201)</f>
        <v>1200</v>
      </c>
      <c r="D4" s="6" t="s">
        <v>4327</v>
      </c>
      <c r="E4">
        <f>QUARTILE('Cleaned Data'!N2:N1202,3)</f>
        <v>1578.4749999999999</v>
      </c>
      <c r="G4" s="19"/>
      <c r="H4" s="20"/>
      <c r="I4" s="20"/>
      <c r="J4" s="21"/>
      <c r="L4" s="53"/>
      <c r="M4" s="53"/>
      <c r="N4" s="53"/>
      <c r="O4" s="53"/>
    </row>
    <row r="5" spans="1:15" ht="21" customHeight="1" x14ac:dyDescent="0.25">
      <c r="A5" s="6" t="s">
        <v>4287</v>
      </c>
      <c r="B5" s="5">
        <f>MIN('Cleaned Data'!F2:F1201)</f>
        <v>11.39</v>
      </c>
      <c r="D5" s="6" t="s">
        <v>4299</v>
      </c>
      <c r="E5">
        <f>E4-E3</f>
        <v>1167.9549999999999</v>
      </c>
      <c r="G5" s="19"/>
      <c r="H5" s="20"/>
      <c r="I5" s="20"/>
      <c r="J5" s="21"/>
      <c r="L5" s="53"/>
      <c r="M5" s="53"/>
      <c r="N5" s="53"/>
      <c r="O5" s="53"/>
    </row>
    <row r="6" spans="1:15" x14ac:dyDescent="0.25">
      <c r="A6" s="6" t="s">
        <v>4288</v>
      </c>
      <c r="B6" s="5">
        <f>MAX('Cleaned Data'!F2:F1201)</f>
        <v>699.93</v>
      </c>
      <c r="D6" s="6" t="s">
        <v>4300</v>
      </c>
      <c r="E6">
        <f>E3-(1.5*E5)</f>
        <v>-1341.4124999999999</v>
      </c>
      <c r="G6" s="22"/>
      <c r="H6" s="23"/>
      <c r="I6" s="23"/>
      <c r="J6" s="24"/>
      <c r="L6" s="53"/>
      <c r="M6" s="53"/>
      <c r="N6" s="53"/>
      <c r="O6" s="53"/>
    </row>
    <row r="7" spans="1:15" x14ac:dyDescent="0.25">
      <c r="A7" s="14"/>
      <c r="B7" s="7"/>
      <c r="D7" s="6" t="s">
        <v>4328</v>
      </c>
      <c r="E7">
        <f>E4+(1.5*E5)</f>
        <v>3330.4074999999998</v>
      </c>
    </row>
    <row r="8" spans="1:15" x14ac:dyDescent="0.25">
      <c r="A8" s="6" t="s">
        <v>4289</v>
      </c>
      <c r="B8">
        <f>COUNTIF('Cleaned Data'!I2:I1201,"Shipped")</f>
        <v>235</v>
      </c>
      <c r="D8" s="6" t="s">
        <v>4320</v>
      </c>
      <c r="E8">
        <f>COUNTIF('Cleaned Data'!P2:P1201,"OUTLIER")</f>
        <v>8</v>
      </c>
      <c r="G8" s="25" t="s">
        <v>4334</v>
      </c>
      <c r="H8" s="26"/>
      <c r="I8" s="26"/>
      <c r="J8" s="27"/>
      <c r="L8" s="54" t="s">
        <v>4338</v>
      </c>
      <c r="M8" s="55"/>
      <c r="N8" s="55"/>
      <c r="O8" s="55"/>
    </row>
    <row r="9" spans="1:15" x14ac:dyDescent="0.25">
      <c r="A9" s="6" t="s">
        <v>4290</v>
      </c>
      <c r="B9">
        <f>COUNTIF('Cleaned Data'!I2:I1201,"Delivered")</f>
        <v>231</v>
      </c>
      <c r="D9" s="6" t="s">
        <v>4331</v>
      </c>
      <c r="E9">
        <f>COUNTIF('Cleaned Data'!P2:P1201,"Normal")</f>
        <v>1192</v>
      </c>
      <c r="G9" s="28"/>
      <c r="H9" s="29"/>
      <c r="I9" s="29"/>
      <c r="J9" s="30"/>
      <c r="L9" s="55"/>
      <c r="M9" s="55"/>
      <c r="N9" s="55"/>
      <c r="O9" s="55"/>
    </row>
    <row r="10" spans="1:15" x14ac:dyDescent="0.25">
      <c r="A10" s="6" t="s">
        <v>4291</v>
      </c>
      <c r="B10">
        <f>COUNTIF('Cleaned Data'!I2:I1201,"Cancelled")</f>
        <v>250</v>
      </c>
      <c r="G10" s="28"/>
      <c r="H10" s="29"/>
      <c r="I10" s="29"/>
      <c r="J10" s="30"/>
      <c r="L10" s="55"/>
      <c r="M10" s="55"/>
      <c r="N10" s="55"/>
      <c r="O10" s="55"/>
    </row>
    <row r="11" spans="1:15" x14ac:dyDescent="0.25">
      <c r="A11" s="6" t="s">
        <v>4292</v>
      </c>
      <c r="B11">
        <f>COUNTIF('Cleaned Data'!I2:I1201,"Returned")</f>
        <v>247</v>
      </c>
      <c r="G11" s="28"/>
      <c r="H11" s="29"/>
      <c r="I11" s="29"/>
      <c r="J11" s="30"/>
      <c r="L11" s="55"/>
      <c r="M11" s="55"/>
      <c r="N11" s="55"/>
      <c r="O11" s="55"/>
    </row>
    <row r="12" spans="1:15" x14ac:dyDescent="0.25">
      <c r="G12" s="31"/>
      <c r="H12" s="32"/>
      <c r="I12" s="32"/>
      <c r="J12" s="33"/>
      <c r="L12" s="55"/>
      <c r="M12" s="55"/>
      <c r="N12" s="55"/>
      <c r="O12" s="55"/>
    </row>
    <row r="13" spans="1:15" x14ac:dyDescent="0.25">
      <c r="A13" s="6" t="s">
        <v>4293</v>
      </c>
      <c r="B13" s="5">
        <f>AVERAGE('Cleaned Data'!N2:N1201)</f>
        <v>1053.9683000000005</v>
      </c>
      <c r="C13" s="6" t="s">
        <v>4322</v>
      </c>
    </row>
    <row r="14" spans="1:15" x14ac:dyDescent="0.25">
      <c r="A14" s="6" t="s">
        <v>4294</v>
      </c>
      <c r="B14" s="5">
        <f>MEDIAN('Cleaned Data'!N2:N1201)</f>
        <v>823.61500000000001</v>
      </c>
      <c r="G14" s="34" t="s">
        <v>4335</v>
      </c>
      <c r="H14" s="35"/>
      <c r="I14" s="35"/>
      <c r="J14" s="36"/>
      <c r="L14" s="56" t="s">
        <v>4339</v>
      </c>
      <c r="M14" s="57"/>
      <c r="N14" s="57"/>
      <c r="O14" s="57"/>
    </row>
    <row r="15" spans="1:15" x14ac:dyDescent="0.25">
      <c r="A15" s="6" t="s">
        <v>4295</v>
      </c>
      <c r="B15" s="5">
        <f>MIN('Cleaned Data'!N2:N1201)</f>
        <v>11.39</v>
      </c>
      <c r="G15" s="37"/>
      <c r="H15" s="38"/>
      <c r="I15" s="38"/>
      <c r="J15" s="39"/>
      <c r="L15" s="57"/>
      <c r="M15" s="57"/>
      <c r="N15" s="57"/>
      <c r="O15" s="57"/>
    </row>
    <row r="16" spans="1:15" x14ac:dyDescent="0.25">
      <c r="A16" s="6" t="s">
        <v>4296</v>
      </c>
      <c r="B16" s="5">
        <f>MAX('Cleaned Data'!N2:N12001)</f>
        <v>3456.4</v>
      </c>
      <c r="G16" s="37"/>
      <c r="H16" s="38"/>
      <c r="I16" s="38"/>
      <c r="J16" s="39"/>
      <c r="L16" s="57"/>
      <c r="M16" s="57"/>
      <c r="N16" s="57"/>
      <c r="O16" s="57"/>
    </row>
    <row r="17" spans="1:15" x14ac:dyDescent="0.25">
      <c r="A17" s="6"/>
      <c r="B17" s="5"/>
      <c r="G17" s="37"/>
      <c r="H17" s="38"/>
      <c r="I17" s="38"/>
      <c r="J17" s="39"/>
      <c r="L17" s="57"/>
      <c r="M17" s="57"/>
      <c r="N17" s="57"/>
      <c r="O17" s="57"/>
    </row>
    <row r="18" spans="1:15" x14ac:dyDescent="0.25">
      <c r="A18" s="13" t="s">
        <v>4324</v>
      </c>
      <c r="B18" s="13"/>
      <c r="G18" s="40"/>
      <c r="H18" s="41"/>
      <c r="I18" s="41"/>
      <c r="J18" s="42"/>
      <c r="L18" s="57"/>
      <c r="M18" s="57"/>
      <c r="N18" s="57"/>
      <c r="O18" s="57"/>
    </row>
    <row r="19" spans="1:15" x14ac:dyDescent="0.25">
      <c r="A19" s="6" t="s">
        <v>4297</v>
      </c>
      <c r="B19">
        <f>QUARTILE('Cleaned Data'!F2:F1201,1)</f>
        <v>186.0625</v>
      </c>
    </row>
    <row r="20" spans="1:15" x14ac:dyDescent="0.25">
      <c r="A20" s="6" t="s">
        <v>4298</v>
      </c>
      <c r="B20">
        <f>QUARTILE('Cleaned Data'!F2:F1202,3)</f>
        <v>521.56999999999994</v>
      </c>
      <c r="G20" s="43" t="s">
        <v>4337</v>
      </c>
      <c r="H20" s="44"/>
      <c r="I20" s="44"/>
      <c r="J20" s="45"/>
      <c r="L20" s="59" t="s">
        <v>4340</v>
      </c>
      <c r="M20" s="58"/>
      <c r="N20" s="58"/>
      <c r="O20" s="58"/>
    </row>
    <row r="21" spans="1:15" x14ac:dyDescent="0.25">
      <c r="A21" s="6" t="s">
        <v>4299</v>
      </c>
      <c r="B21">
        <f>B20-B19</f>
        <v>335.50749999999994</v>
      </c>
      <c r="G21" s="46"/>
      <c r="H21" s="47"/>
      <c r="I21" s="47"/>
      <c r="J21" s="48"/>
      <c r="L21" s="58"/>
      <c r="M21" s="58"/>
      <c r="N21" s="58"/>
      <c r="O21" s="58"/>
    </row>
    <row r="22" spans="1:15" x14ac:dyDescent="0.25">
      <c r="A22" s="6" t="s">
        <v>4300</v>
      </c>
      <c r="B22">
        <f>B19-(1.5*B21)</f>
        <v>-317.1987499999999</v>
      </c>
      <c r="G22" s="46"/>
      <c r="H22" s="47"/>
      <c r="I22" s="47"/>
      <c r="J22" s="48"/>
      <c r="L22" s="58"/>
      <c r="M22" s="58"/>
      <c r="N22" s="58"/>
      <c r="O22" s="58"/>
    </row>
    <row r="23" spans="1:15" x14ac:dyDescent="0.25">
      <c r="A23" s="6" t="s">
        <v>4301</v>
      </c>
      <c r="B23">
        <f>B20+(1.5*B21)</f>
        <v>1024.8312499999997</v>
      </c>
      <c r="G23" s="46"/>
      <c r="H23" s="47"/>
      <c r="I23" s="47"/>
      <c r="J23" s="48"/>
      <c r="L23" s="58"/>
      <c r="M23" s="58"/>
      <c r="N23" s="58"/>
      <c r="O23" s="58"/>
    </row>
    <row r="24" spans="1:15" x14ac:dyDescent="0.25">
      <c r="A24" s="6" t="s">
        <v>4320</v>
      </c>
      <c r="B24">
        <f>COUNTIF('Cleaned Data'!O2:O1201,"OUTLIER")</f>
        <v>0</v>
      </c>
      <c r="G24" s="49"/>
      <c r="H24" s="50"/>
      <c r="I24" s="50"/>
      <c r="J24" s="51"/>
      <c r="L24" s="58"/>
      <c r="M24" s="58"/>
      <c r="N24" s="58"/>
      <c r="O24" s="58"/>
    </row>
    <row r="25" spans="1:15" x14ac:dyDescent="0.25">
      <c r="A25" s="6" t="s">
        <v>4321</v>
      </c>
      <c r="B25">
        <f>COUNTIF('Cleaned Data'!O2:O1201,"Normal")</f>
        <v>1200</v>
      </c>
    </row>
  </sheetData>
  <mergeCells count="10">
    <mergeCell ref="G14:J18"/>
    <mergeCell ref="G20:J24"/>
    <mergeCell ref="L8:O12"/>
    <mergeCell ref="L2:O6"/>
    <mergeCell ref="L14:O18"/>
    <mergeCell ref="L20:O24"/>
    <mergeCell ref="A18:B18"/>
    <mergeCell ref="D2:E2"/>
    <mergeCell ref="G2:J6"/>
    <mergeCell ref="G8:J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>
      <selection activeCell="Q42" sqref="Q4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H23" sqref="H23"/>
    </sheetView>
  </sheetViews>
  <sheetFormatPr defaultRowHeight="15" x14ac:dyDescent="0.25"/>
  <cols>
    <col min="2" max="2" width="19.42578125" customWidth="1"/>
    <col min="4" max="4" width="14.28515625" customWidth="1"/>
    <col min="5" max="5" width="20.42578125" customWidth="1"/>
    <col min="7" max="7" width="13.5703125" customWidth="1"/>
    <col min="8" max="8" width="17.42578125" customWidth="1"/>
  </cols>
  <sheetData>
    <row r="1" spans="1:8" x14ac:dyDescent="0.25">
      <c r="A1" s="9" t="s">
        <v>4302</v>
      </c>
      <c r="B1" t="s">
        <v>4304</v>
      </c>
      <c r="D1" s="9" t="s">
        <v>4302</v>
      </c>
      <c r="E1" t="s">
        <v>4305</v>
      </c>
      <c r="G1" s="9" t="s">
        <v>4302</v>
      </c>
      <c r="H1" t="s">
        <v>4305</v>
      </c>
    </row>
    <row r="2" spans="1:8" x14ac:dyDescent="0.25">
      <c r="A2" s="10" t="s">
        <v>2406</v>
      </c>
      <c r="B2" s="11">
        <v>562</v>
      </c>
      <c r="D2" s="10" t="s">
        <v>3071</v>
      </c>
      <c r="E2" s="11">
        <v>250</v>
      </c>
      <c r="G2" s="10" t="s">
        <v>3069</v>
      </c>
      <c r="H2" s="11">
        <v>246</v>
      </c>
    </row>
    <row r="3" spans="1:8" x14ac:dyDescent="0.25">
      <c r="A3" s="10" t="s">
        <v>2409</v>
      </c>
      <c r="B3" s="11">
        <v>508</v>
      </c>
      <c r="D3" s="10" t="s">
        <v>3073</v>
      </c>
      <c r="E3" s="11">
        <v>231</v>
      </c>
      <c r="G3" s="10" t="s">
        <v>3067</v>
      </c>
      <c r="H3" s="11">
        <v>234</v>
      </c>
    </row>
    <row r="4" spans="1:8" x14ac:dyDescent="0.25">
      <c r="A4" s="10" t="s">
        <v>2408</v>
      </c>
      <c r="B4" s="11">
        <v>535</v>
      </c>
      <c r="D4" s="10" t="s">
        <v>3074</v>
      </c>
      <c r="E4" s="11">
        <v>237</v>
      </c>
      <c r="G4" s="10" t="s">
        <v>3065</v>
      </c>
      <c r="H4" s="11">
        <v>232</v>
      </c>
    </row>
    <row r="5" spans="1:8" x14ac:dyDescent="0.25">
      <c r="A5" s="10" t="s">
        <v>2403</v>
      </c>
      <c r="B5" s="11">
        <v>480</v>
      </c>
      <c r="D5" s="10" t="s">
        <v>3072</v>
      </c>
      <c r="E5" s="11">
        <v>247</v>
      </c>
      <c r="G5" s="10" t="s">
        <v>3068</v>
      </c>
      <c r="H5" s="11">
        <v>230</v>
      </c>
    </row>
    <row r="6" spans="1:8" x14ac:dyDescent="0.25">
      <c r="A6" s="10" t="s">
        <v>2404</v>
      </c>
      <c r="B6" s="11">
        <v>411</v>
      </c>
      <c r="D6" s="10" t="s">
        <v>3070</v>
      </c>
      <c r="E6" s="11">
        <v>235</v>
      </c>
      <c r="G6" s="10" t="s">
        <v>3066</v>
      </c>
      <c r="H6" s="11">
        <v>258</v>
      </c>
    </row>
    <row r="7" spans="1:8" x14ac:dyDescent="0.25">
      <c r="A7" s="10" t="s">
        <v>2407</v>
      </c>
      <c r="B7" s="11">
        <v>542</v>
      </c>
      <c r="D7" s="10" t="s">
        <v>4303</v>
      </c>
      <c r="E7" s="11">
        <v>1200</v>
      </c>
      <c r="G7" s="10" t="s">
        <v>4303</v>
      </c>
      <c r="H7" s="11">
        <v>1200</v>
      </c>
    </row>
    <row r="8" spans="1:8" x14ac:dyDescent="0.25">
      <c r="A8" s="10" t="s">
        <v>2405</v>
      </c>
      <c r="B8" s="11">
        <v>497</v>
      </c>
    </row>
    <row r="9" spans="1:8" x14ac:dyDescent="0.25">
      <c r="A9" s="10" t="s">
        <v>4303</v>
      </c>
      <c r="B9" s="11">
        <v>3535</v>
      </c>
    </row>
    <row r="10" spans="1:8" x14ac:dyDescent="0.25">
      <c r="G10" s="9" t="s">
        <v>4302</v>
      </c>
      <c r="H10" t="s">
        <v>4307</v>
      </c>
    </row>
    <row r="11" spans="1:8" x14ac:dyDescent="0.25">
      <c r="A11" s="9" t="s">
        <v>4302</v>
      </c>
      <c r="B11" t="s">
        <v>4306</v>
      </c>
      <c r="D11" s="9" t="s">
        <v>4302</v>
      </c>
      <c r="E11" t="s">
        <v>4307</v>
      </c>
      <c r="G11" s="10" t="s">
        <v>2406</v>
      </c>
      <c r="H11" s="11">
        <v>195620.11000000002</v>
      </c>
    </row>
    <row r="12" spans="1:8" x14ac:dyDescent="0.25">
      <c r="A12" s="10" t="s">
        <v>4280</v>
      </c>
      <c r="B12" s="11">
        <v>250</v>
      </c>
      <c r="D12" s="12" t="s">
        <v>4308</v>
      </c>
      <c r="E12" s="11">
        <v>124313.23000000005</v>
      </c>
      <c r="G12" s="10" t="s">
        <v>2409</v>
      </c>
      <c r="H12" s="11">
        <v>167459.93</v>
      </c>
    </row>
    <row r="13" spans="1:8" x14ac:dyDescent="0.25">
      <c r="A13" s="10" t="s">
        <v>4281</v>
      </c>
      <c r="B13" s="11">
        <v>228</v>
      </c>
      <c r="D13" s="12" t="s">
        <v>4309</v>
      </c>
      <c r="E13" s="11">
        <v>112344.77999999998</v>
      </c>
      <c r="G13" s="10" t="s">
        <v>2408</v>
      </c>
      <c r="H13" s="11">
        <v>192126.55999999994</v>
      </c>
    </row>
    <row r="14" spans="1:8" x14ac:dyDescent="0.25">
      <c r="A14" s="10" t="s">
        <v>4282</v>
      </c>
      <c r="B14" s="11">
        <v>241</v>
      </c>
      <c r="D14" s="12" t="s">
        <v>4310</v>
      </c>
      <c r="E14" s="11">
        <v>123840.92999999995</v>
      </c>
      <c r="G14" s="10" t="s">
        <v>2403</v>
      </c>
      <c r="H14" s="11">
        <v>175651.40999999997</v>
      </c>
    </row>
    <row r="15" spans="1:8" x14ac:dyDescent="0.25">
      <c r="A15" s="10" t="s">
        <v>4278</v>
      </c>
      <c r="B15" s="11">
        <v>259</v>
      </c>
      <c r="D15" s="12" t="s">
        <v>4311</v>
      </c>
      <c r="E15" s="11">
        <v>109186.05</v>
      </c>
      <c r="G15" s="10" t="s">
        <v>2404</v>
      </c>
      <c r="H15" s="11">
        <v>151722.39000000001</v>
      </c>
    </row>
    <row r="16" spans="1:8" x14ac:dyDescent="0.25">
      <c r="A16" s="10" t="s">
        <v>4279</v>
      </c>
      <c r="B16" s="11">
        <v>222</v>
      </c>
      <c r="D16" s="12" t="s">
        <v>4312</v>
      </c>
      <c r="E16" s="11">
        <v>135142.59</v>
      </c>
      <c r="G16" s="10" t="s">
        <v>2407</v>
      </c>
      <c r="H16" s="11">
        <v>195612.60999999996</v>
      </c>
    </row>
    <row r="17" spans="1:8" x14ac:dyDescent="0.25">
      <c r="A17" s="10" t="s">
        <v>4303</v>
      </c>
      <c r="B17" s="11">
        <v>1200</v>
      </c>
      <c r="D17" s="12" t="s">
        <v>4313</v>
      </c>
      <c r="E17" s="11">
        <v>170616.13000000006</v>
      </c>
      <c r="G17" s="10" t="s">
        <v>2405</v>
      </c>
      <c r="H17" s="11">
        <v>186568.95000000007</v>
      </c>
    </row>
    <row r="18" spans="1:8" x14ac:dyDescent="0.25">
      <c r="D18" s="12" t="s">
        <v>4314</v>
      </c>
      <c r="E18" s="11">
        <v>85784.63999999997</v>
      </c>
      <c r="G18" s="10" t="s">
        <v>4303</v>
      </c>
      <c r="H18" s="11">
        <v>1264761.96</v>
      </c>
    </row>
    <row r="19" spans="1:8" x14ac:dyDescent="0.25">
      <c r="D19" s="12" t="s">
        <v>4315</v>
      </c>
      <c r="E19" s="11">
        <v>86343.210000000036</v>
      </c>
    </row>
    <row r="20" spans="1:8" x14ac:dyDescent="0.25">
      <c r="D20" s="12" t="s">
        <v>4316</v>
      </c>
      <c r="E20" s="11">
        <v>69321.650000000023</v>
      </c>
    </row>
    <row r="21" spans="1:8" x14ac:dyDescent="0.25">
      <c r="D21" s="12" t="s">
        <v>4317</v>
      </c>
      <c r="E21" s="11">
        <v>89834.820000000022</v>
      </c>
    </row>
    <row r="22" spans="1:8" x14ac:dyDescent="0.25">
      <c r="D22" s="12" t="s">
        <v>4318</v>
      </c>
      <c r="E22" s="11">
        <v>75493.430000000008</v>
      </c>
    </row>
    <row r="23" spans="1:8" x14ac:dyDescent="0.25">
      <c r="D23" s="12" t="s">
        <v>4319</v>
      </c>
      <c r="E23" s="11">
        <v>82540.5</v>
      </c>
    </row>
    <row r="24" spans="1:8" x14ac:dyDescent="0.25">
      <c r="D24" s="12" t="s">
        <v>4303</v>
      </c>
      <c r="E24" s="11">
        <v>1264761.96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EDA Analysis</vt:lpstr>
      <vt:lpstr>Charts Dashboard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2025-06-21T13:19:12Z</dcterms:created>
  <dcterms:modified xsi:type="dcterms:W3CDTF">2026-07-11T12:37:52Z</dcterms:modified>
</cp:coreProperties>
</file>